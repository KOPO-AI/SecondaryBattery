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niri_m\Documents\Main Drive Mona\3. Nextrode\4. Pres-Reports\1.Papers\19. DIB Mark\Data In Brief\Attachments\To Submit\1- Tables\"/>
    </mc:Choice>
  </mc:AlternateContent>
  <xr:revisionPtr revIDLastSave="0" documentId="13_ncr:1_{B9BD01C0-14B6-417F-806D-42D85612F135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Cathode" sheetId="1" r:id="rId1"/>
    <sheet name="Cathode-Intermediate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6" l="1"/>
  <c r="C23" i="1" l="1"/>
  <c r="D23" i="1"/>
  <c r="E23" i="1"/>
  <c r="F23" i="1"/>
  <c r="G22" i="1"/>
  <c r="H23" i="1"/>
  <c r="I23" i="1"/>
  <c r="J23" i="1"/>
  <c r="K23" i="1"/>
  <c r="L23" i="1"/>
  <c r="M23" i="1"/>
  <c r="N23" i="1"/>
  <c r="T23" i="1"/>
  <c r="U23" i="1"/>
  <c r="V23" i="1"/>
  <c r="W23" i="1"/>
  <c r="X23" i="1"/>
  <c r="Y23" i="1"/>
  <c r="Z23" i="1"/>
  <c r="AA23" i="1"/>
  <c r="AB23" i="1"/>
  <c r="AC23" i="1"/>
  <c r="A23" i="1"/>
  <c r="B23" i="1"/>
  <c r="G41" i="6"/>
  <c r="F41" i="6"/>
  <c r="E41" i="6"/>
  <c r="D41" i="6"/>
  <c r="B41" i="6"/>
  <c r="A41" i="6"/>
  <c r="G40" i="6"/>
  <c r="F40" i="6"/>
  <c r="E40" i="6"/>
  <c r="D40" i="6"/>
  <c r="B40" i="6"/>
  <c r="A40" i="6"/>
  <c r="G39" i="6"/>
  <c r="F39" i="6"/>
  <c r="E39" i="6"/>
  <c r="D39" i="6"/>
  <c r="B39" i="6"/>
  <c r="A39" i="6"/>
  <c r="G38" i="6"/>
  <c r="F38" i="6"/>
  <c r="E38" i="6"/>
  <c r="D38" i="6"/>
  <c r="B38" i="6"/>
  <c r="A38" i="6"/>
  <c r="G37" i="6"/>
  <c r="F37" i="6"/>
  <c r="E37" i="6"/>
  <c r="D37" i="6"/>
  <c r="B37" i="6"/>
  <c r="A37" i="6"/>
  <c r="G36" i="6"/>
  <c r="F36" i="6"/>
  <c r="E36" i="6"/>
  <c r="D36" i="6"/>
  <c r="B36" i="6"/>
  <c r="A36" i="6"/>
  <c r="G35" i="6"/>
  <c r="F35" i="6"/>
  <c r="E35" i="6"/>
  <c r="D35" i="6"/>
  <c r="B35" i="6"/>
  <c r="A35" i="6"/>
  <c r="G34" i="6"/>
  <c r="F34" i="6"/>
  <c r="E34" i="6"/>
  <c r="D34" i="6"/>
  <c r="B34" i="6"/>
  <c r="A34" i="6"/>
  <c r="G33" i="6"/>
  <c r="F33" i="6"/>
  <c r="E33" i="6"/>
  <c r="D33" i="6"/>
  <c r="B33" i="6"/>
  <c r="A33" i="6"/>
  <c r="G32" i="6"/>
  <c r="F32" i="6"/>
  <c r="E32" i="6"/>
  <c r="D32" i="6"/>
  <c r="B32" i="6"/>
  <c r="A32" i="6"/>
  <c r="G31" i="6"/>
  <c r="F31" i="6"/>
  <c r="E31" i="6"/>
  <c r="D31" i="6"/>
  <c r="B31" i="6"/>
  <c r="A31" i="6"/>
  <c r="G30" i="6"/>
  <c r="F30" i="6"/>
  <c r="E30" i="6"/>
  <c r="D30" i="6"/>
  <c r="B30" i="6"/>
  <c r="A30" i="6"/>
  <c r="G29" i="6"/>
  <c r="F29" i="6"/>
  <c r="E29" i="6"/>
  <c r="D29" i="6"/>
  <c r="B29" i="6"/>
  <c r="A29" i="6"/>
  <c r="G28" i="6"/>
  <c r="F28" i="6"/>
  <c r="E28" i="6"/>
  <c r="D28" i="6"/>
  <c r="B28" i="6"/>
  <c r="A28" i="6"/>
  <c r="G27" i="6"/>
  <c r="F27" i="6"/>
  <c r="E27" i="6"/>
  <c r="D27" i="6"/>
  <c r="B27" i="6"/>
  <c r="A27" i="6"/>
  <c r="G26" i="6"/>
  <c r="F26" i="6"/>
  <c r="E26" i="6"/>
  <c r="D26" i="6"/>
  <c r="B26" i="6"/>
  <c r="A26" i="6"/>
  <c r="G25" i="6"/>
  <c r="F25" i="6"/>
  <c r="E25" i="6"/>
  <c r="D25" i="6"/>
  <c r="B25" i="6"/>
  <c r="A25" i="6"/>
  <c r="G24" i="6"/>
  <c r="B24" i="6"/>
  <c r="A24" i="6"/>
  <c r="D29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24" i="1"/>
  <c r="B24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25" i="1"/>
  <c r="B26" i="1"/>
  <c r="D26" i="1"/>
  <c r="E26" i="1"/>
  <c r="F26" i="1"/>
  <c r="B27" i="1"/>
  <c r="D27" i="1"/>
  <c r="E27" i="1"/>
  <c r="F27" i="1"/>
  <c r="B28" i="1"/>
  <c r="D28" i="1"/>
  <c r="E28" i="1"/>
  <c r="F28" i="1"/>
  <c r="B29" i="1"/>
  <c r="E29" i="1"/>
  <c r="F29" i="1"/>
  <c r="B30" i="1"/>
  <c r="D30" i="1"/>
  <c r="E30" i="1"/>
  <c r="F30" i="1"/>
  <c r="B31" i="1"/>
  <c r="D31" i="1"/>
  <c r="E31" i="1"/>
  <c r="F31" i="1"/>
  <c r="B32" i="1"/>
  <c r="D32" i="1"/>
  <c r="E32" i="1"/>
  <c r="F32" i="1"/>
  <c r="B33" i="1"/>
  <c r="D33" i="1"/>
  <c r="E33" i="1"/>
  <c r="F33" i="1"/>
  <c r="B34" i="1"/>
  <c r="D34" i="1"/>
  <c r="E34" i="1"/>
  <c r="F34" i="1"/>
  <c r="B35" i="1"/>
  <c r="D35" i="1"/>
  <c r="E35" i="1"/>
  <c r="F35" i="1"/>
  <c r="B36" i="1"/>
  <c r="D36" i="1"/>
  <c r="E36" i="1"/>
  <c r="F36" i="1"/>
  <c r="B37" i="1"/>
  <c r="D37" i="1"/>
  <c r="E37" i="1"/>
  <c r="F37" i="1"/>
  <c r="B38" i="1"/>
  <c r="D38" i="1"/>
  <c r="E38" i="1"/>
  <c r="F38" i="1"/>
  <c r="B39" i="1"/>
  <c r="D39" i="1"/>
  <c r="E39" i="1"/>
  <c r="F39" i="1"/>
  <c r="B40" i="1"/>
  <c r="D40" i="1"/>
  <c r="E40" i="1"/>
  <c r="F40" i="1"/>
  <c r="B41" i="1"/>
  <c r="D41" i="1"/>
  <c r="E41" i="1"/>
  <c r="F41" i="1"/>
  <c r="F25" i="1"/>
  <c r="E25" i="1"/>
  <c r="D25" i="1"/>
  <c r="B25" i="1"/>
  <c r="G24" i="1"/>
</calcChain>
</file>

<file path=xl/sharedStrings.xml><?xml version="1.0" encoding="utf-8"?>
<sst xmlns="http://schemas.openxmlformats.org/spreadsheetml/2006/main" count="194" uniqueCount="61">
  <si>
    <t>Mean values</t>
  </si>
  <si>
    <t>Calendering conditions</t>
  </si>
  <si>
    <t>Calendering date</t>
  </si>
  <si>
    <t>Before calendering</t>
  </si>
  <si>
    <t>SEM/EDS</t>
  </si>
  <si>
    <t>Calendering parameters</t>
  </si>
  <si>
    <t>Calendered</t>
  </si>
  <si>
    <t>No</t>
  </si>
  <si>
    <t>Electrode ID (P-porous, M-medium, D-dense)</t>
  </si>
  <si>
    <t>Target coating weight (GSM)</t>
  </si>
  <si>
    <t>Roll temperature (oC)</t>
  </si>
  <si>
    <t>Target density (g/cm3)</t>
  </si>
  <si>
    <t>Calculated target porosity (%)</t>
  </si>
  <si>
    <t>Coating thickness (um) from sheet</t>
  </si>
  <si>
    <t>Coating thickness from discs (um)</t>
  </si>
  <si>
    <t>Coating weight from discs (gsm)</t>
  </si>
  <si>
    <t>Density from discs (g/cm3)</t>
  </si>
  <si>
    <t>Porosity from discs (%)</t>
  </si>
  <si>
    <t>Electrode max. tensile strength (kPa)</t>
  </si>
  <si>
    <t>SEM/EDS analysis performed (Y/N)</t>
  </si>
  <si>
    <t>Gradient in carbon (% %-1)</t>
  </si>
  <si>
    <t>Gradient in fluorine (% %-1)</t>
  </si>
  <si>
    <t>Z1-1 value in carbon</t>
  </si>
  <si>
    <t>Z1-1 value in fluorine</t>
  </si>
  <si>
    <t>Moran I score in carbon</t>
  </si>
  <si>
    <t>Moran I score in fluorine</t>
  </si>
  <si>
    <t>Observed cracks in particles (Y/N)</t>
  </si>
  <si>
    <t>Roll gap (um)- includes 2 shims  of ~500 um</t>
  </si>
  <si>
    <t>Number of passes</t>
  </si>
  <si>
    <t>Coating  thickness from sheet (um)</t>
  </si>
  <si>
    <t>NEX_CAT_240_L_85_P</t>
  </si>
  <si>
    <t>Y</t>
  </si>
  <si>
    <t>N</t>
  </si>
  <si>
    <t>NEX_CAT_240_L_85_M</t>
  </si>
  <si>
    <t>NEX_CAT_240_L_85_D</t>
  </si>
  <si>
    <t>NEX_CAT_240_L_120_P</t>
  </si>
  <si>
    <t>NEX_CAT_240_L_120_M</t>
  </si>
  <si>
    <t>NEX_CAT_240_L_120_D</t>
  </si>
  <si>
    <t>NEX_CAT_240_L_145_P</t>
  </si>
  <si>
    <t>NEX_CAT_240_L_145_M</t>
  </si>
  <si>
    <t>NEX_CAT_240_L_145_D</t>
  </si>
  <si>
    <t>NEX_CAT_240_H_85_P</t>
  </si>
  <si>
    <t>NEX_CAT_240_H_85_M</t>
  </si>
  <si>
    <t>NEX_CAT_240_H_85_D</t>
  </si>
  <si>
    <t>NEX_CAT_240_H_120_P</t>
  </si>
  <si>
    <t>NEX_CAT_240_H_120_M</t>
  </si>
  <si>
    <t>NEX_CAT_240_H_120_D</t>
  </si>
  <si>
    <t>NEX_CAT_240_H_145_P</t>
  </si>
  <si>
    <t>NEX_CAT_240_H_145_M</t>
  </si>
  <si>
    <t>NEX_CAT_240_H_145_D</t>
  </si>
  <si>
    <t>Standard Deviations</t>
  </si>
  <si>
    <t>Z-score- from SEM/EDS</t>
  </si>
  <si>
    <t>Calendering- with shimms ~500 um thick</t>
  </si>
  <si>
    <t>After calendering</t>
  </si>
  <si>
    <t>No of passes</t>
  </si>
  <si>
    <t>Pass no</t>
  </si>
  <si>
    <t>Coating thickness  from sheet- measured (um)</t>
  </si>
  <si>
    <t>Density- calculated (g/cm3)</t>
  </si>
  <si>
    <t>Porosity- calculated (%)</t>
  </si>
  <si>
    <t>Roll gap (um)</t>
  </si>
  <si>
    <t>Electrode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</si>
</sst>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charset val="1"/>
    </font>
    <font>
      <sz val="11"/>
      <color rgb="FF0D0D0D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2" xfId="0" applyFont="1" applyBorder="1" applyAlignment="1">
      <alignment wrapText="1"/>
    </xf>
    <xf numFmtId="0" fontId="0" fillId="0" borderId="4" xfId="0" applyBorder="1"/>
    <xf numFmtId="0" fontId="0" fillId="0" borderId="5" xfId="0" applyBorder="1"/>
    <xf numFmtId="4" fontId="0" fillId="0" borderId="4" xfId="0" applyNumberFormat="1" applyBorder="1" applyAlignment="1">
      <alignment horizontal="right"/>
    </xf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" fontId="0" fillId="0" borderId="4" xfId="0" applyNumberFormat="1" applyBorder="1"/>
    <xf numFmtId="4" fontId="0" fillId="0" borderId="6" xfId="0" applyNumberFormat="1" applyBorder="1"/>
    <xf numFmtId="0" fontId="2" fillId="0" borderId="0" xfId="0" applyFont="1"/>
    <xf numFmtId="0" fontId="0" fillId="0" borderId="7" xfId="0" applyBorder="1" applyAlignment="1">
      <alignment horizontal="center" vertical="center"/>
    </xf>
    <xf numFmtId="0" fontId="1" fillId="0" borderId="0" xfId="0" applyFont="1" applyAlignment="1">
      <alignment wrapText="1"/>
    </xf>
    <xf numFmtId="4" fontId="1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4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0" applyNumberFormat="1"/>
    <xf numFmtId="0" fontId="4" fillId="0" borderId="0" xfId="0" applyFont="1"/>
    <xf numFmtId="0" fontId="4" fillId="0" borderId="0" xfId="0" applyFont="1" applyAlignment="1">
      <alignment vertical="center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4" fontId="1" fillId="0" borderId="4" xfId="0" applyNumberFormat="1" applyFont="1" applyBorder="1" applyAlignment="1">
      <alignment wrapText="1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9" xfId="0" applyBorder="1"/>
    <xf numFmtId="0" fontId="0" fillId="0" borderId="10" xfId="0" applyBorder="1"/>
    <xf numFmtId="14" fontId="0" fillId="0" borderId="7" xfId="0" applyNumberFormat="1" applyBorder="1"/>
    <xf numFmtId="0" fontId="0" fillId="0" borderId="8" xfId="0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2" fontId="2" fillId="0" borderId="0" xfId="0" applyNumberFormat="1" applyFont="1"/>
    <xf numFmtId="0" fontId="0" fillId="0" borderId="10" xfId="0" applyBorder="1" applyAlignment="1">
      <alignment wrapText="1"/>
    </xf>
    <xf numFmtId="4" fontId="1" fillId="0" borderId="10" xfId="0" applyNumberFormat="1" applyFont="1" applyBorder="1" applyAlignment="1">
      <alignment wrapText="1"/>
    </xf>
    <xf numFmtId="2" fontId="0" fillId="0" borderId="7" xfId="0" applyNumberFormat="1" applyBorder="1"/>
    <xf numFmtId="4" fontId="0" fillId="0" borderId="7" xfId="0" applyNumberFormat="1" applyBorder="1"/>
    <xf numFmtId="2" fontId="0" fillId="0" borderId="5" xfId="0" applyNumberFormat="1" applyBorder="1"/>
    <xf numFmtId="0" fontId="0" fillId="0" borderId="11" xfId="0" applyBorder="1"/>
    <xf numFmtId="2" fontId="0" fillId="0" borderId="4" xfId="0" applyNumberFormat="1" applyBorder="1"/>
    <xf numFmtId="2" fontId="0" fillId="0" borderId="6" xfId="0" applyNumberFormat="1" applyBorder="1"/>
    <xf numFmtId="164" fontId="0" fillId="0" borderId="4" xfId="0" applyNumberFormat="1" applyBorder="1"/>
    <xf numFmtId="164" fontId="2" fillId="0" borderId="5" xfId="0" applyNumberFormat="1" applyFont="1" applyBorder="1"/>
    <xf numFmtId="164" fontId="0" fillId="0" borderId="5" xfId="0" applyNumberFormat="1" applyBorder="1"/>
    <xf numFmtId="0" fontId="1" fillId="2" borderId="10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0" borderId="10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4" fontId="1" fillId="0" borderId="9" xfId="0" applyNumberFormat="1" applyFont="1" applyBorder="1" applyAlignment="1">
      <alignment horizontal="center" wrapText="1"/>
    </xf>
    <xf numFmtId="4" fontId="1" fillId="0" borderId="10" xfId="0" applyNumberFormat="1" applyFont="1" applyBorder="1" applyAlignment="1">
      <alignment horizontal="center" wrapText="1"/>
    </xf>
    <xf numFmtId="4" fontId="1" fillId="0" borderId="11" xfId="0" applyNumberFormat="1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1"/>
  <sheetViews>
    <sheetView tabSelected="1" topLeftCell="K1" zoomScale="70" zoomScaleNormal="70" workbookViewId="0">
      <pane ySplit="1" topLeftCell="A2" activePane="bottomLeft" state="frozen"/>
      <selection pane="bottomLeft" activeCell="AD1" sqref="AD1:AI1"/>
    </sheetView>
  </sheetViews>
  <sheetFormatPr defaultColWidth="8.85546875" defaultRowHeight="15" x14ac:dyDescent="0.25"/>
  <cols>
    <col min="1" max="1" width="4" customWidth="1"/>
    <col min="2" max="2" width="23" style="2" customWidth="1"/>
    <col min="3" max="3" width="31.28515625" style="3" customWidth="1"/>
    <col min="4" max="4" width="12.5703125" style="2" customWidth="1"/>
    <col min="5" max="5" width="12.7109375" customWidth="1"/>
    <col min="6" max="6" width="13.7109375" style="3" customWidth="1"/>
    <col min="7" max="7" width="13.7109375" customWidth="1"/>
    <col min="8" max="8" width="12.7109375" style="9" customWidth="1"/>
    <col min="9" max="9" width="16.85546875" customWidth="1"/>
    <col min="10" max="12" width="12.28515625" customWidth="1"/>
    <col min="13" max="13" width="12.28515625" style="3" customWidth="1"/>
    <col min="14" max="21" width="12.28515625" customWidth="1"/>
    <col min="22" max="22" width="11.7109375" style="2" customWidth="1"/>
    <col min="23" max="23" width="11.7109375" style="3" customWidth="1"/>
    <col min="24" max="24" width="12.28515625" customWidth="1"/>
    <col min="25" max="25" width="15.7109375" customWidth="1"/>
    <col min="29" max="35" width="11.28515625" customWidth="1"/>
    <col min="36" max="36" width="13.28515625" style="3" customWidth="1"/>
    <col min="38" max="38" width="15.5703125" customWidth="1"/>
    <col min="39" max="39" width="14.140625" customWidth="1"/>
  </cols>
  <sheetData>
    <row r="1" spans="1:36" s="24" customFormat="1" ht="15" customHeight="1" thickBot="1" x14ac:dyDescent="0.3">
      <c r="A1" s="23"/>
      <c r="B1" s="53" t="s">
        <v>0</v>
      </c>
      <c r="C1" s="57" t="s">
        <v>1</v>
      </c>
      <c r="D1" s="57"/>
      <c r="E1" s="57"/>
      <c r="F1" s="58"/>
      <c r="G1" s="55" t="s">
        <v>2</v>
      </c>
      <c r="H1" s="60" t="s">
        <v>3</v>
      </c>
      <c r="I1" s="61"/>
      <c r="J1" s="61"/>
      <c r="K1" s="61"/>
      <c r="L1" s="61"/>
      <c r="M1" s="62"/>
      <c r="N1" s="63" t="s">
        <v>4</v>
      </c>
      <c r="O1" s="63"/>
      <c r="P1" s="63"/>
      <c r="Q1" s="63"/>
      <c r="R1" s="63"/>
      <c r="S1" s="63"/>
      <c r="T1" s="63"/>
      <c r="U1" s="63"/>
      <c r="V1" s="64" t="s">
        <v>5</v>
      </c>
      <c r="W1" s="65"/>
      <c r="X1" s="63" t="s">
        <v>6</v>
      </c>
      <c r="Y1" s="63"/>
      <c r="Z1" s="63"/>
      <c r="AA1" s="63"/>
      <c r="AB1" s="63"/>
      <c r="AC1" s="63"/>
      <c r="AD1" s="63" t="s">
        <v>4</v>
      </c>
      <c r="AE1" s="63"/>
      <c r="AF1" s="63"/>
      <c r="AG1" s="63"/>
      <c r="AH1" s="63"/>
      <c r="AI1" s="63"/>
      <c r="AJ1" s="54"/>
    </row>
    <row r="2" spans="1:36" s="13" customFormat="1" ht="73.5" customHeight="1" x14ac:dyDescent="0.25">
      <c r="A2" s="25" t="s">
        <v>7</v>
      </c>
      <c r="B2" s="25" t="s">
        <v>8</v>
      </c>
      <c r="C2" s="51" t="s">
        <v>9</v>
      </c>
      <c r="D2" s="1" t="s">
        <v>10</v>
      </c>
      <c r="E2" s="1" t="s">
        <v>11</v>
      </c>
      <c r="F2" s="52" t="s">
        <v>12</v>
      </c>
      <c r="G2" s="56"/>
      <c r="H2" s="27" t="s">
        <v>13</v>
      </c>
      <c r="I2" s="13" t="s">
        <v>14</v>
      </c>
      <c r="J2" s="13" t="s">
        <v>15</v>
      </c>
      <c r="K2" s="13" t="s">
        <v>16</v>
      </c>
      <c r="L2" s="13" t="s">
        <v>17</v>
      </c>
      <c r="M2" s="26" t="s">
        <v>18</v>
      </c>
      <c r="N2" s="13" t="s">
        <v>19</v>
      </c>
      <c r="O2" s="13" t="s">
        <v>20</v>
      </c>
      <c r="P2" s="13" t="s">
        <v>21</v>
      </c>
      <c r="Q2" s="13" t="s">
        <v>22</v>
      </c>
      <c r="R2" s="13" t="s">
        <v>23</v>
      </c>
      <c r="S2" s="13" t="s">
        <v>24</v>
      </c>
      <c r="T2" s="15" t="s">
        <v>25</v>
      </c>
      <c r="U2" s="13" t="s">
        <v>26</v>
      </c>
      <c r="V2" s="25" t="s">
        <v>27</v>
      </c>
      <c r="W2" s="26" t="s">
        <v>28</v>
      </c>
      <c r="X2" s="13" t="s">
        <v>29</v>
      </c>
      <c r="Y2" s="13" t="s">
        <v>14</v>
      </c>
      <c r="Z2" s="13" t="s">
        <v>15</v>
      </c>
      <c r="AA2" s="13" t="s">
        <v>16</v>
      </c>
      <c r="AB2" s="13" t="s">
        <v>17</v>
      </c>
      <c r="AC2" s="13" t="s">
        <v>18</v>
      </c>
      <c r="AD2" s="13" t="s">
        <v>20</v>
      </c>
      <c r="AE2" s="13" t="s">
        <v>21</v>
      </c>
      <c r="AF2" s="13" t="s">
        <v>22</v>
      </c>
      <c r="AG2" s="13" t="s">
        <v>23</v>
      </c>
      <c r="AH2" s="13" t="s">
        <v>24</v>
      </c>
      <c r="AI2" s="15" t="s">
        <v>25</v>
      </c>
      <c r="AJ2" s="26" t="s">
        <v>26</v>
      </c>
    </row>
    <row r="3" spans="1:36" x14ac:dyDescent="0.25">
      <c r="A3" s="2">
        <v>1</v>
      </c>
      <c r="B3" s="2" t="s">
        <v>30</v>
      </c>
      <c r="C3" s="2">
        <v>122.48</v>
      </c>
      <c r="D3">
        <v>85</v>
      </c>
      <c r="E3">
        <v>2.7</v>
      </c>
      <c r="F3" s="3">
        <v>39.44</v>
      </c>
      <c r="G3" s="16">
        <v>44484</v>
      </c>
      <c r="H3" s="4">
        <v>52.4</v>
      </c>
      <c r="I3">
        <v>52.66</v>
      </c>
      <c r="J3">
        <v>120.54</v>
      </c>
      <c r="K3">
        <v>2.29</v>
      </c>
      <c r="L3">
        <v>48.56</v>
      </c>
      <c r="M3" s="28">
        <v>728.62</v>
      </c>
      <c r="N3" s="18" t="s">
        <v>31</v>
      </c>
      <c r="O3" s="19">
        <v>6.5399999999999998E-3</v>
      </c>
      <c r="P3" s="19">
        <v>9.7800000000000005E-3</v>
      </c>
      <c r="Q3" s="19">
        <v>108.7</v>
      </c>
      <c r="R3" s="19">
        <v>47.3</v>
      </c>
      <c r="S3" s="19">
        <v>0.60499999999999998</v>
      </c>
      <c r="T3" s="18">
        <v>0.40400000000000003</v>
      </c>
      <c r="U3" s="18" t="s">
        <v>32</v>
      </c>
      <c r="V3" s="2">
        <v>475</v>
      </c>
      <c r="W3" s="3">
        <v>2</v>
      </c>
      <c r="X3">
        <v>45.1</v>
      </c>
      <c r="Y3">
        <v>46.166666669999998</v>
      </c>
      <c r="Z3">
        <v>120.34883720000001</v>
      </c>
      <c r="AA3">
        <v>2.6075808149999999</v>
      </c>
      <c r="AB3">
        <v>41.40267832</v>
      </c>
      <c r="AC3">
        <v>685.06667000000004</v>
      </c>
      <c r="AD3">
        <v>1.601E-2</v>
      </c>
      <c r="AE3">
        <v>9.2200000000000008E-3</v>
      </c>
      <c r="AF3">
        <v>138.6</v>
      </c>
      <c r="AG3">
        <v>48.5</v>
      </c>
      <c r="AH3">
        <v>0.61499999999999999</v>
      </c>
      <c r="AI3">
        <v>0.40600000000000003</v>
      </c>
      <c r="AJ3" s="3" t="s">
        <v>31</v>
      </c>
    </row>
    <row r="4" spans="1:36" x14ac:dyDescent="0.25">
      <c r="A4" s="2">
        <v>2</v>
      </c>
      <c r="B4" s="2" t="s">
        <v>33</v>
      </c>
      <c r="C4" s="2">
        <v>122.48</v>
      </c>
      <c r="D4">
        <v>85</v>
      </c>
      <c r="E4">
        <v>2.95</v>
      </c>
      <c r="F4" s="3">
        <v>33.83</v>
      </c>
      <c r="G4" s="16">
        <v>44484</v>
      </c>
      <c r="H4" s="4">
        <v>51.6</v>
      </c>
      <c r="I4">
        <v>52.5</v>
      </c>
      <c r="J4">
        <v>120.93</v>
      </c>
      <c r="K4">
        <v>2.2999999999999998</v>
      </c>
      <c r="L4">
        <v>48.23</v>
      </c>
      <c r="M4" s="28">
        <v>728.62</v>
      </c>
      <c r="N4" s="18" t="s">
        <v>31</v>
      </c>
      <c r="O4" s="19">
        <v>6.5399999999999998E-3</v>
      </c>
      <c r="P4" s="19">
        <v>9.7800000000000005E-3</v>
      </c>
      <c r="Q4" s="19">
        <v>108.7</v>
      </c>
      <c r="R4" s="19">
        <v>47.3</v>
      </c>
      <c r="S4" s="19">
        <v>0.60499999999999998</v>
      </c>
      <c r="T4" s="18">
        <v>0.40400000000000003</v>
      </c>
      <c r="U4" s="18" t="s">
        <v>32</v>
      </c>
      <c r="V4" s="2">
        <v>462</v>
      </c>
      <c r="W4" s="3">
        <v>1</v>
      </c>
      <c r="X4">
        <v>40.6</v>
      </c>
      <c r="Y4">
        <v>41.666666669999998</v>
      </c>
      <c r="Z4">
        <v>118.5077519</v>
      </c>
      <c r="AA4">
        <v>2.8444405430000002</v>
      </c>
      <c r="AB4">
        <v>36.079987799999998</v>
      </c>
      <c r="AC4">
        <v>619.14666999999997</v>
      </c>
      <c r="AD4">
        <v>2.0449999999999999E-2</v>
      </c>
      <c r="AE4">
        <v>9.6799999999999994E-3</v>
      </c>
      <c r="AF4">
        <v>141.5</v>
      </c>
      <c r="AG4">
        <v>45.1</v>
      </c>
      <c r="AH4">
        <v>0.64</v>
      </c>
      <c r="AI4">
        <v>0.41</v>
      </c>
      <c r="AJ4" s="3" t="s">
        <v>31</v>
      </c>
    </row>
    <row r="5" spans="1:36" x14ac:dyDescent="0.25">
      <c r="A5" s="2">
        <v>3</v>
      </c>
      <c r="B5" s="2" t="s">
        <v>34</v>
      </c>
      <c r="C5" s="2">
        <v>122.48</v>
      </c>
      <c r="D5">
        <v>85</v>
      </c>
      <c r="E5">
        <v>3.2</v>
      </c>
      <c r="F5" s="3">
        <v>28.22</v>
      </c>
      <c r="G5" s="16">
        <v>44484</v>
      </c>
      <c r="H5" s="4">
        <v>52.3</v>
      </c>
      <c r="I5">
        <v>52.5</v>
      </c>
      <c r="J5">
        <v>120.54</v>
      </c>
      <c r="K5">
        <v>2.2999999999999998</v>
      </c>
      <c r="L5">
        <v>48.39</v>
      </c>
      <c r="M5" s="28">
        <v>728.62</v>
      </c>
      <c r="N5" s="18" t="s">
        <v>31</v>
      </c>
      <c r="O5" s="19">
        <v>6.5399999999999998E-3</v>
      </c>
      <c r="P5" s="19">
        <v>9.7800000000000005E-3</v>
      </c>
      <c r="Q5" s="19">
        <v>108.7</v>
      </c>
      <c r="R5" s="19">
        <v>47.3</v>
      </c>
      <c r="S5" s="19">
        <v>0.60499999999999998</v>
      </c>
      <c r="T5" s="18">
        <v>0.40400000000000003</v>
      </c>
      <c r="U5" s="18" t="s">
        <v>32</v>
      </c>
      <c r="V5" s="2">
        <v>458</v>
      </c>
      <c r="W5" s="3">
        <v>3</v>
      </c>
      <c r="X5">
        <v>37.6</v>
      </c>
      <c r="Y5">
        <v>39.166666669999998</v>
      </c>
      <c r="Z5">
        <v>118.60465120000001</v>
      </c>
      <c r="AA5">
        <v>3.0285148739999999</v>
      </c>
      <c r="AB5">
        <v>31.943485970000001</v>
      </c>
      <c r="AC5">
        <v>777.22667000000001</v>
      </c>
      <c r="AD5">
        <v>2.5149999999999999E-2</v>
      </c>
      <c r="AE5">
        <v>5.9199999999999999E-3</v>
      </c>
      <c r="AF5">
        <v>96.5</v>
      </c>
      <c r="AG5">
        <v>40.6</v>
      </c>
      <c r="AH5">
        <v>0.56999999999999995</v>
      </c>
      <c r="AI5">
        <v>0.36399999999999999</v>
      </c>
      <c r="AJ5" s="3" t="s">
        <v>31</v>
      </c>
    </row>
    <row r="6" spans="1:36" x14ac:dyDescent="0.25">
      <c r="A6" s="2">
        <v>4</v>
      </c>
      <c r="B6" s="2" t="s">
        <v>35</v>
      </c>
      <c r="C6" s="2">
        <v>122.48</v>
      </c>
      <c r="D6">
        <v>120</v>
      </c>
      <c r="E6">
        <v>2.7</v>
      </c>
      <c r="F6" s="3">
        <v>39.44</v>
      </c>
      <c r="G6" s="16">
        <v>44487</v>
      </c>
      <c r="H6" s="5">
        <v>51.6</v>
      </c>
      <c r="I6" s="11">
        <v>52.83</v>
      </c>
      <c r="J6" s="11">
        <v>123.25579999999999</v>
      </c>
      <c r="K6" s="11">
        <v>2.3330449999999998</v>
      </c>
      <c r="L6" s="11">
        <v>47.572020000000002</v>
      </c>
      <c r="M6" s="28">
        <v>728.62</v>
      </c>
      <c r="N6" s="18" t="s">
        <v>31</v>
      </c>
      <c r="O6" s="19">
        <v>6.5399999999999998E-3</v>
      </c>
      <c r="P6" s="19">
        <v>9.7800000000000005E-3</v>
      </c>
      <c r="Q6" s="19">
        <v>108.7</v>
      </c>
      <c r="R6" s="19">
        <v>47.3</v>
      </c>
      <c r="S6" s="19">
        <v>0.60499999999999998</v>
      </c>
      <c r="T6" s="18">
        <v>0.40400000000000003</v>
      </c>
      <c r="U6" s="18" t="s">
        <v>32</v>
      </c>
      <c r="V6" s="2">
        <v>400</v>
      </c>
      <c r="W6" s="3">
        <v>1</v>
      </c>
      <c r="X6">
        <v>45</v>
      </c>
      <c r="Y6">
        <v>45.833333330000002</v>
      </c>
      <c r="Z6">
        <v>122.96511630000001</v>
      </c>
      <c r="AA6">
        <v>2.6835600720000001</v>
      </c>
      <c r="AB6">
        <v>39.69527927</v>
      </c>
      <c r="AC6">
        <v>683.73333000000002</v>
      </c>
      <c r="AD6">
        <v>1.7690000000000001E-2</v>
      </c>
      <c r="AE6">
        <v>1.7600000000000001E-3</v>
      </c>
      <c r="AF6">
        <v>101.4</v>
      </c>
      <c r="AG6">
        <v>48.6</v>
      </c>
      <c r="AH6">
        <v>0.59199999999999997</v>
      </c>
      <c r="AI6">
        <v>0.39100000000000001</v>
      </c>
      <c r="AJ6" s="3" t="s">
        <v>31</v>
      </c>
    </row>
    <row r="7" spans="1:36" x14ac:dyDescent="0.25">
      <c r="A7" s="2">
        <v>5</v>
      </c>
      <c r="B7" s="2" t="s">
        <v>36</v>
      </c>
      <c r="C7" s="2">
        <v>122.48</v>
      </c>
      <c r="D7">
        <v>120</v>
      </c>
      <c r="E7">
        <v>2.95</v>
      </c>
      <c r="F7" s="3">
        <v>33.83</v>
      </c>
      <c r="G7" s="16">
        <v>44487</v>
      </c>
      <c r="H7" s="4">
        <v>51.06</v>
      </c>
      <c r="I7" s="11">
        <v>52.8</v>
      </c>
      <c r="J7">
        <v>124.379845</v>
      </c>
      <c r="K7">
        <v>2.35</v>
      </c>
      <c r="L7">
        <v>47.05</v>
      </c>
      <c r="M7" s="28">
        <v>728.62</v>
      </c>
      <c r="N7" s="18" t="s">
        <v>31</v>
      </c>
      <c r="O7" s="19">
        <v>6.5399999999999998E-3</v>
      </c>
      <c r="P7" s="19">
        <v>9.7800000000000005E-3</v>
      </c>
      <c r="Q7" s="19">
        <v>108.7</v>
      </c>
      <c r="R7" s="19">
        <v>47.3</v>
      </c>
      <c r="S7" s="19">
        <v>0.60499999999999998</v>
      </c>
      <c r="T7" s="18">
        <v>0.40400000000000003</v>
      </c>
      <c r="U7" s="18" t="s">
        <v>32</v>
      </c>
      <c r="V7" s="2">
        <v>395</v>
      </c>
      <c r="W7" s="3">
        <v>1</v>
      </c>
      <c r="X7">
        <v>41.13</v>
      </c>
      <c r="Y7">
        <v>42</v>
      </c>
      <c r="Z7">
        <v>120.9302326</v>
      </c>
      <c r="AA7">
        <v>2.881897028</v>
      </c>
      <c r="AB7">
        <v>35.238269029999998</v>
      </c>
      <c r="AC7">
        <v>741.6</v>
      </c>
      <c r="AD7">
        <v>1.502E-2</v>
      </c>
      <c r="AE7">
        <v>-4.2999999999999999E-4</v>
      </c>
      <c r="AF7">
        <v>99.3</v>
      </c>
      <c r="AG7">
        <v>55.7</v>
      </c>
      <c r="AH7">
        <v>0.58099999999999996</v>
      </c>
      <c r="AI7">
        <v>0.41399999999999998</v>
      </c>
      <c r="AJ7" s="3" t="s">
        <v>31</v>
      </c>
    </row>
    <row r="8" spans="1:36" x14ac:dyDescent="0.25">
      <c r="A8" s="2">
        <v>6</v>
      </c>
      <c r="B8" s="2" t="s">
        <v>37</v>
      </c>
      <c r="C8" s="2">
        <v>122.48</v>
      </c>
      <c r="D8">
        <v>120</v>
      </c>
      <c r="E8">
        <v>3.2</v>
      </c>
      <c r="F8" s="3">
        <v>28.22</v>
      </c>
      <c r="G8" s="16">
        <v>44487</v>
      </c>
      <c r="H8" s="5">
        <v>51.86</v>
      </c>
      <c r="I8" s="11">
        <v>51.83</v>
      </c>
      <c r="J8" s="11">
        <v>122.96510000000001</v>
      </c>
      <c r="K8" s="11">
        <v>2.3730769999999999</v>
      </c>
      <c r="L8" s="11">
        <v>46.672420000000002</v>
      </c>
      <c r="M8" s="28">
        <v>728.62</v>
      </c>
      <c r="N8" s="18" t="s">
        <v>31</v>
      </c>
      <c r="O8" s="19">
        <v>6.5399999999999998E-3</v>
      </c>
      <c r="P8" s="19">
        <v>9.7800000000000005E-3</v>
      </c>
      <c r="Q8" s="19">
        <v>108.7</v>
      </c>
      <c r="R8" s="19">
        <v>47.3</v>
      </c>
      <c r="S8" s="19">
        <v>0.60499999999999998</v>
      </c>
      <c r="T8" s="18">
        <v>0.40400000000000003</v>
      </c>
      <c r="U8" s="18" t="s">
        <v>32</v>
      </c>
      <c r="V8" s="2">
        <v>390</v>
      </c>
      <c r="W8" s="3">
        <v>2</v>
      </c>
      <c r="X8">
        <v>39.200000000000003</v>
      </c>
      <c r="Y8">
        <v>38.5</v>
      </c>
      <c r="Z8">
        <v>118.7984496</v>
      </c>
      <c r="AA8">
        <v>3.0863253089999998</v>
      </c>
      <c r="AB8">
        <v>30.644375069999999</v>
      </c>
      <c r="AC8">
        <v>758.56</v>
      </c>
      <c r="AD8">
        <v>2.4140000000000002E-2</v>
      </c>
      <c r="AE8">
        <v>8.4700000000000001E-3</v>
      </c>
      <c r="AF8">
        <v>109.4</v>
      </c>
      <c r="AG8">
        <v>49.2</v>
      </c>
      <c r="AH8">
        <v>0.626</v>
      </c>
      <c r="AI8">
        <v>0.38300000000000001</v>
      </c>
      <c r="AJ8" s="3" t="s">
        <v>31</v>
      </c>
    </row>
    <row r="9" spans="1:36" x14ac:dyDescent="0.25">
      <c r="A9" s="2">
        <v>7</v>
      </c>
      <c r="B9" s="2" t="s">
        <v>38</v>
      </c>
      <c r="C9" s="2">
        <v>122.48</v>
      </c>
      <c r="D9">
        <v>145</v>
      </c>
      <c r="E9">
        <v>2.7</v>
      </c>
      <c r="F9" s="3">
        <v>39.44</v>
      </c>
      <c r="G9" s="16">
        <v>44496</v>
      </c>
      <c r="H9" s="4">
        <v>53.2</v>
      </c>
      <c r="I9">
        <v>53.2</v>
      </c>
      <c r="J9">
        <v>123.68</v>
      </c>
      <c r="K9">
        <v>2.3199999999999998</v>
      </c>
      <c r="L9">
        <v>47.75</v>
      </c>
      <c r="M9" s="28">
        <v>728.62</v>
      </c>
      <c r="N9" s="18" t="s">
        <v>31</v>
      </c>
      <c r="O9" s="19">
        <v>6.5399999999999998E-3</v>
      </c>
      <c r="P9" s="19">
        <v>9.7800000000000005E-3</v>
      </c>
      <c r="Q9" s="19">
        <v>108.7</v>
      </c>
      <c r="R9" s="19">
        <v>47.3</v>
      </c>
      <c r="S9" s="19">
        <v>0.60499999999999998</v>
      </c>
      <c r="T9" s="18">
        <v>0.40400000000000003</v>
      </c>
      <c r="U9" s="18" t="s">
        <v>32</v>
      </c>
      <c r="V9" s="2">
        <v>460</v>
      </c>
      <c r="W9" s="3">
        <v>1</v>
      </c>
      <c r="X9">
        <v>45.93</v>
      </c>
      <c r="Y9">
        <v>45.833333330000002</v>
      </c>
      <c r="Z9">
        <v>123.5465116</v>
      </c>
      <c r="AA9">
        <v>2.697639911</v>
      </c>
      <c r="AB9">
        <v>39.378878399999998</v>
      </c>
      <c r="AC9">
        <v>653.6</v>
      </c>
      <c r="AD9">
        <v>2.707E-2</v>
      </c>
      <c r="AE9">
        <v>8.8900000000000003E-3</v>
      </c>
      <c r="AF9">
        <v>97.9</v>
      </c>
      <c r="AG9">
        <v>47.1</v>
      </c>
      <c r="AH9">
        <v>0.61599999999999999</v>
      </c>
      <c r="AI9">
        <v>0.36699999999999999</v>
      </c>
      <c r="AJ9" s="3" t="s">
        <v>31</v>
      </c>
    </row>
    <row r="10" spans="1:36" x14ac:dyDescent="0.25">
      <c r="A10" s="2">
        <v>8</v>
      </c>
      <c r="B10" s="2" t="s">
        <v>39</v>
      </c>
      <c r="C10" s="2">
        <v>122.48</v>
      </c>
      <c r="D10">
        <v>145</v>
      </c>
      <c r="E10">
        <v>2.95</v>
      </c>
      <c r="F10" s="3">
        <v>33.83</v>
      </c>
      <c r="G10" s="16">
        <v>44496</v>
      </c>
      <c r="H10" s="4">
        <v>50.46</v>
      </c>
      <c r="I10">
        <v>52.83</v>
      </c>
      <c r="J10">
        <v>122.19</v>
      </c>
      <c r="K10">
        <v>2.31</v>
      </c>
      <c r="L10">
        <v>48.02</v>
      </c>
      <c r="M10" s="28">
        <v>728.62</v>
      </c>
      <c r="N10" s="18" t="s">
        <v>31</v>
      </c>
      <c r="O10" s="19">
        <v>6.5399999999999998E-3</v>
      </c>
      <c r="P10" s="19">
        <v>9.7800000000000005E-3</v>
      </c>
      <c r="Q10" s="19">
        <v>108.7</v>
      </c>
      <c r="R10" s="19">
        <v>47.3</v>
      </c>
      <c r="S10" s="19">
        <v>0.60499999999999998</v>
      </c>
      <c r="T10" s="18">
        <v>0.40400000000000003</v>
      </c>
      <c r="U10" s="18" t="s">
        <v>32</v>
      </c>
      <c r="V10" s="2">
        <v>450</v>
      </c>
      <c r="W10" s="3">
        <v>1</v>
      </c>
      <c r="X10">
        <v>41.26</v>
      </c>
      <c r="Y10">
        <v>42</v>
      </c>
      <c r="Z10">
        <v>121.124031</v>
      </c>
      <c r="AA10">
        <v>2.8844560000000001</v>
      </c>
      <c r="AB10">
        <v>35.180764060000001</v>
      </c>
      <c r="AC10">
        <v>780.96</v>
      </c>
      <c r="AD10">
        <v>1.0959999999999999E-2</v>
      </c>
      <c r="AE10">
        <v>1.91E-3</v>
      </c>
      <c r="AF10">
        <v>90.5</v>
      </c>
      <c r="AG10">
        <v>49.3</v>
      </c>
      <c r="AH10">
        <v>0.56499999999999995</v>
      </c>
      <c r="AI10">
        <v>0.4</v>
      </c>
      <c r="AJ10" s="3" t="s">
        <v>31</v>
      </c>
    </row>
    <row r="11" spans="1:36" x14ac:dyDescent="0.25">
      <c r="A11" s="2">
        <v>9</v>
      </c>
      <c r="B11" s="2" t="s">
        <v>40</v>
      </c>
      <c r="C11" s="2">
        <v>122.48</v>
      </c>
      <c r="D11">
        <v>145</v>
      </c>
      <c r="E11">
        <v>3.2</v>
      </c>
      <c r="F11" s="3">
        <v>28.22</v>
      </c>
      <c r="G11" s="16">
        <v>44496</v>
      </c>
      <c r="H11" s="4">
        <v>52.53</v>
      </c>
      <c r="I11">
        <v>53</v>
      </c>
      <c r="J11">
        <v>123.91</v>
      </c>
      <c r="K11">
        <v>2.34</v>
      </c>
      <c r="L11">
        <v>47.46</v>
      </c>
      <c r="M11" s="28">
        <v>728.62</v>
      </c>
      <c r="N11" s="18" t="s">
        <v>31</v>
      </c>
      <c r="O11" s="19">
        <v>6.5399999999999998E-3</v>
      </c>
      <c r="P11" s="19">
        <v>9.7800000000000005E-3</v>
      </c>
      <c r="Q11" s="19">
        <v>108.7</v>
      </c>
      <c r="R11" s="19">
        <v>47.3</v>
      </c>
      <c r="S11" s="19">
        <v>0.60499999999999998</v>
      </c>
      <c r="T11" s="18">
        <v>0.40400000000000003</v>
      </c>
      <c r="U11" s="18" t="s">
        <v>32</v>
      </c>
      <c r="V11" s="2">
        <v>446</v>
      </c>
      <c r="W11" s="3">
        <v>1</v>
      </c>
      <c r="X11">
        <v>39.53</v>
      </c>
      <c r="Y11">
        <v>39.666666669999998</v>
      </c>
      <c r="Z11">
        <v>122.4806202</v>
      </c>
      <c r="AA11">
        <v>3.0878659019999999</v>
      </c>
      <c r="AB11">
        <v>30.609755010000001</v>
      </c>
      <c r="AC11">
        <v>745.65332999999998</v>
      </c>
      <c r="AD11">
        <v>1.132E-2</v>
      </c>
      <c r="AE11">
        <v>6.62E-3</v>
      </c>
      <c r="AF11">
        <v>94.9</v>
      </c>
      <c r="AG11">
        <v>52.1</v>
      </c>
      <c r="AH11">
        <v>0.61699999999999999</v>
      </c>
      <c r="AI11">
        <v>0.38</v>
      </c>
      <c r="AJ11" s="3" t="s">
        <v>31</v>
      </c>
    </row>
    <row r="12" spans="1:36" x14ac:dyDescent="0.25">
      <c r="A12" s="2">
        <v>10</v>
      </c>
      <c r="B12" s="2" t="s">
        <v>41</v>
      </c>
      <c r="C12" s="2">
        <v>182.73</v>
      </c>
      <c r="D12">
        <v>85</v>
      </c>
      <c r="E12">
        <v>2.7</v>
      </c>
      <c r="F12" s="3">
        <v>39.44</v>
      </c>
      <c r="G12" s="16">
        <v>44484</v>
      </c>
      <c r="H12" s="9">
        <v>74.2</v>
      </c>
      <c r="I12">
        <v>75.33</v>
      </c>
      <c r="J12">
        <v>181.49</v>
      </c>
      <c r="K12">
        <v>2.41</v>
      </c>
      <c r="L12">
        <v>45.85</v>
      </c>
      <c r="M12" s="28">
        <v>683.25</v>
      </c>
      <c r="N12" s="18" t="s">
        <v>31</v>
      </c>
      <c r="O12" s="21">
        <v>1.7579999999999998E-2</v>
      </c>
      <c r="P12" s="21">
        <v>1.2840000000000001E-2</v>
      </c>
      <c r="Q12" s="22">
        <v>113.4</v>
      </c>
      <c r="R12" s="22">
        <v>59.9</v>
      </c>
      <c r="S12" s="22">
        <v>0.64600000000000002</v>
      </c>
      <c r="T12" s="18">
        <v>0.45900000000000002</v>
      </c>
      <c r="U12" s="18" t="s">
        <v>32</v>
      </c>
      <c r="V12" s="2">
        <v>495</v>
      </c>
      <c r="W12" s="3">
        <v>1</v>
      </c>
      <c r="X12">
        <v>68</v>
      </c>
      <c r="Y12">
        <v>67.833333330000002</v>
      </c>
      <c r="Z12">
        <v>180.13565890000001</v>
      </c>
      <c r="AA12">
        <v>2.6559522979999999</v>
      </c>
      <c r="AB12">
        <v>40.315678699999999</v>
      </c>
      <c r="AC12">
        <v>660.05332999999996</v>
      </c>
      <c r="AD12" s="21">
        <v>6.1999999999999998E-3</v>
      </c>
      <c r="AE12" s="21">
        <v>3.8400000000000001E-3</v>
      </c>
      <c r="AF12" s="21">
        <v>104.6</v>
      </c>
      <c r="AG12" s="21">
        <v>49.7</v>
      </c>
      <c r="AH12" s="21">
        <v>0.61299999999999999</v>
      </c>
      <c r="AI12" s="21">
        <v>0.41299999999999998</v>
      </c>
      <c r="AJ12" s="3" t="s">
        <v>31</v>
      </c>
    </row>
    <row r="13" spans="1:36" x14ac:dyDescent="0.25">
      <c r="A13" s="2">
        <v>11</v>
      </c>
      <c r="B13" s="2" t="s">
        <v>42</v>
      </c>
      <c r="C13" s="2">
        <v>182.73</v>
      </c>
      <c r="D13">
        <v>85</v>
      </c>
      <c r="E13">
        <v>2.95</v>
      </c>
      <c r="F13" s="3">
        <v>33.83</v>
      </c>
      <c r="G13" s="16">
        <v>44484</v>
      </c>
      <c r="H13" s="9">
        <v>73.66</v>
      </c>
      <c r="I13">
        <v>74.66</v>
      </c>
      <c r="J13">
        <v>181.2</v>
      </c>
      <c r="K13">
        <v>2.4300000000000002</v>
      </c>
      <c r="L13">
        <v>45.4</v>
      </c>
      <c r="M13" s="28">
        <v>683.25</v>
      </c>
      <c r="N13" s="18" t="s">
        <v>31</v>
      </c>
      <c r="O13" s="21">
        <v>1.7579999999999998E-2</v>
      </c>
      <c r="P13" s="21">
        <v>1.2840000000000001E-2</v>
      </c>
      <c r="Q13" s="22">
        <v>113.4</v>
      </c>
      <c r="R13" s="22">
        <v>59.9</v>
      </c>
      <c r="S13" s="22">
        <v>0.64600000000000002</v>
      </c>
      <c r="T13" s="18">
        <v>0.45900000000000002</v>
      </c>
      <c r="U13" s="18" t="s">
        <v>32</v>
      </c>
      <c r="V13" s="2">
        <v>476</v>
      </c>
      <c r="W13" s="3">
        <v>1</v>
      </c>
      <c r="X13">
        <v>61.1</v>
      </c>
      <c r="Y13">
        <v>61.5</v>
      </c>
      <c r="Z13">
        <v>179.2635659</v>
      </c>
      <c r="AA13">
        <v>2.9150986520000002</v>
      </c>
      <c r="AB13">
        <v>34.492165129999997</v>
      </c>
      <c r="AC13">
        <v>592.64</v>
      </c>
      <c r="AD13" s="21">
        <v>9.5399999999999999E-3</v>
      </c>
      <c r="AE13" s="21">
        <v>5.8500000000000002E-3</v>
      </c>
      <c r="AF13" s="21">
        <v>100.4</v>
      </c>
      <c r="AG13" s="21">
        <v>47</v>
      </c>
      <c r="AH13" s="21">
        <v>0.59799999999999998</v>
      </c>
      <c r="AI13" s="21">
        <v>0.41299999999999998</v>
      </c>
      <c r="AJ13" s="3" t="s">
        <v>31</v>
      </c>
    </row>
    <row r="14" spans="1:36" x14ac:dyDescent="0.25">
      <c r="A14" s="2">
        <v>12</v>
      </c>
      <c r="B14" s="2" t="s">
        <v>43</v>
      </c>
      <c r="C14" s="2">
        <v>182.73</v>
      </c>
      <c r="D14">
        <v>85</v>
      </c>
      <c r="E14">
        <v>3.2</v>
      </c>
      <c r="F14" s="3">
        <v>28.22</v>
      </c>
      <c r="G14" s="16">
        <v>44484</v>
      </c>
      <c r="H14" s="9">
        <v>73.13</v>
      </c>
      <c r="I14">
        <v>75</v>
      </c>
      <c r="J14">
        <v>180.57</v>
      </c>
      <c r="K14">
        <v>2.41</v>
      </c>
      <c r="L14">
        <v>45.9</v>
      </c>
      <c r="M14" s="28">
        <v>683.25</v>
      </c>
      <c r="N14" s="18" t="s">
        <v>31</v>
      </c>
      <c r="O14" s="21">
        <v>1.7579999999999998E-2</v>
      </c>
      <c r="P14" s="21">
        <v>1.2840000000000001E-2</v>
      </c>
      <c r="Q14" s="22">
        <v>113.4</v>
      </c>
      <c r="R14" s="22">
        <v>59.9</v>
      </c>
      <c r="S14" s="22">
        <v>0.64600000000000002</v>
      </c>
      <c r="T14" s="18">
        <v>0.45900000000000002</v>
      </c>
      <c r="U14" s="18" t="s">
        <v>32</v>
      </c>
      <c r="V14" s="2">
        <v>466</v>
      </c>
      <c r="W14" s="3">
        <v>2</v>
      </c>
      <c r="X14">
        <v>56.3</v>
      </c>
      <c r="Y14">
        <v>57</v>
      </c>
      <c r="Z14">
        <v>177.22868220000001</v>
      </c>
      <c r="AA14">
        <v>3.1093843410000002</v>
      </c>
      <c r="AB14">
        <v>30.126194590000001</v>
      </c>
      <c r="AC14">
        <v>609.17332999999996</v>
      </c>
      <c r="AD14" s="21">
        <v>8.4799999999999997E-3</v>
      </c>
      <c r="AE14" s="21">
        <v>1.9300000000000001E-3</v>
      </c>
      <c r="AF14" s="21">
        <v>95.5</v>
      </c>
      <c r="AG14" s="21">
        <v>39.799999999999997</v>
      </c>
      <c r="AH14" s="21">
        <v>0.58899999999999997</v>
      </c>
      <c r="AI14" s="21">
        <v>0.36699999999999999</v>
      </c>
      <c r="AJ14" s="3" t="s">
        <v>31</v>
      </c>
    </row>
    <row r="15" spans="1:36" x14ac:dyDescent="0.25">
      <c r="A15" s="2">
        <v>13</v>
      </c>
      <c r="B15" s="2" t="s">
        <v>44</v>
      </c>
      <c r="C15" s="2">
        <v>182.73</v>
      </c>
      <c r="D15">
        <v>120</v>
      </c>
      <c r="E15">
        <v>2.7</v>
      </c>
      <c r="F15" s="3">
        <v>39.44</v>
      </c>
      <c r="G15" s="16">
        <v>44487</v>
      </c>
      <c r="H15" s="9">
        <v>74.400000000000006</v>
      </c>
      <c r="I15">
        <v>73</v>
      </c>
      <c r="J15">
        <v>183.52713180000001</v>
      </c>
      <c r="K15">
        <v>2.514173108</v>
      </c>
      <c r="L15">
        <v>43.50172792</v>
      </c>
      <c r="M15" s="28">
        <v>683.25</v>
      </c>
      <c r="N15" s="18" t="s">
        <v>31</v>
      </c>
      <c r="O15" s="21">
        <v>1.7579999999999998E-2</v>
      </c>
      <c r="P15" s="21">
        <v>1.2840000000000001E-2</v>
      </c>
      <c r="Q15" s="22">
        <v>113.4</v>
      </c>
      <c r="R15" s="22">
        <v>59.9</v>
      </c>
      <c r="S15" s="22">
        <v>0.64600000000000002</v>
      </c>
      <c r="T15" s="18">
        <v>0.45900000000000002</v>
      </c>
      <c r="U15" s="18" t="s">
        <v>32</v>
      </c>
      <c r="V15" s="2">
        <v>420</v>
      </c>
      <c r="W15" s="3">
        <v>2</v>
      </c>
      <c r="X15">
        <v>67.66</v>
      </c>
      <c r="Y15">
        <v>68.333333330000002</v>
      </c>
      <c r="Z15">
        <v>184.9806202</v>
      </c>
      <c r="AA15">
        <v>2.7070928360000002</v>
      </c>
      <c r="AB15">
        <v>39.16645312</v>
      </c>
      <c r="AC15">
        <v>698.02666999999997</v>
      </c>
      <c r="AD15" s="21">
        <v>6.62E-3</v>
      </c>
      <c r="AE15" s="21">
        <v>4.3400000000000001E-3</v>
      </c>
      <c r="AF15" s="21">
        <v>105.8</v>
      </c>
      <c r="AG15" s="21">
        <v>44.7</v>
      </c>
      <c r="AH15" s="21">
        <v>0.60799999999999998</v>
      </c>
      <c r="AI15" s="21">
        <v>0.376</v>
      </c>
      <c r="AJ15" s="3" t="s">
        <v>31</v>
      </c>
    </row>
    <row r="16" spans="1:36" x14ac:dyDescent="0.25">
      <c r="A16" s="2">
        <v>14</v>
      </c>
      <c r="B16" s="2" t="s">
        <v>45</v>
      </c>
      <c r="C16" s="2">
        <v>182.73</v>
      </c>
      <c r="D16">
        <v>120</v>
      </c>
      <c r="E16">
        <v>2.95</v>
      </c>
      <c r="F16" s="3">
        <v>33.83</v>
      </c>
      <c r="G16" s="16">
        <v>44487</v>
      </c>
      <c r="H16" s="9">
        <v>74.400000000000006</v>
      </c>
      <c r="I16">
        <v>75.5</v>
      </c>
      <c r="J16">
        <v>184.30232559999999</v>
      </c>
      <c r="K16">
        <v>2.441252591</v>
      </c>
      <c r="L16">
        <v>45.140391209999997</v>
      </c>
      <c r="M16" s="28">
        <v>683.25</v>
      </c>
      <c r="N16" s="18" t="s">
        <v>31</v>
      </c>
      <c r="O16" s="21">
        <v>1.7579999999999998E-2</v>
      </c>
      <c r="P16" s="21">
        <v>1.2840000000000001E-2</v>
      </c>
      <c r="Q16" s="22">
        <v>113.4</v>
      </c>
      <c r="R16" s="22">
        <v>59.9</v>
      </c>
      <c r="S16" s="22">
        <v>0.64600000000000002</v>
      </c>
      <c r="T16" s="18">
        <v>0.45900000000000002</v>
      </c>
      <c r="U16" s="18" t="s">
        <v>32</v>
      </c>
      <c r="V16" s="2">
        <v>410</v>
      </c>
      <c r="W16" s="3">
        <v>2</v>
      </c>
      <c r="X16">
        <v>61.8</v>
      </c>
      <c r="Y16">
        <v>62.666666669999998</v>
      </c>
      <c r="Z16">
        <v>181.7829457</v>
      </c>
      <c r="AA16">
        <v>2.9014619800000001</v>
      </c>
      <c r="AB16">
        <v>34.798607189999998</v>
      </c>
      <c r="AC16">
        <v>632.69332999999995</v>
      </c>
      <c r="AD16" s="21">
        <v>1.413E-2</v>
      </c>
      <c r="AE16" s="21">
        <v>1.001E-2</v>
      </c>
      <c r="AF16" s="21">
        <v>108.5</v>
      </c>
      <c r="AG16" s="21">
        <v>48.8</v>
      </c>
      <c r="AH16" s="21">
        <v>0.63800000000000001</v>
      </c>
      <c r="AI16" s="21">
        <v>0.40899999999999997</v>
      </c>
      <c r="AJ16" s="3" t="s">
        <v>31</v>
      </c>
    </row>
    <row r="17" spans="1:36" x14ac:dyDescent="0.25">
      <c r="A17" s="2">
        <v>15</v>
      </c>
      <c r="B17" s="2" t="s">
        <v>46</v>
      </c>
      <c r="C17" s="2">
        <v>182.73</v>
      </c>
      <c r="D17">
        <v>120</v>
      </c>
      <c r="E17">
        <v>3.2</v>
      </c>
      <c r="F17" s="3">
        <v>28.22</v>
      </c>
      <c r="G17" s="16">
        <v>44487</v>
      </c>
      <c r="H17" s="9">
        <v>73.400000000000006</v>
      </c>
      <c r="I17">
        <v>75.33</v>
      </c>
      <c r="J17">
        <v>183.33333329999999</v>
      </c>
      <c r="K17">
        <v>2.4338331599999998</v>
      </c>
      <c r="L17">
        <v>45.307119999999998</v>
      </c>
      <c r="M17" s="28">
        <v>683.25</v>
      </c>
      <c r="N17" s="18" t="s">
        <v>31</v>
      </c>
      <c r="O17" s="21">
        <v>1.7579999999999998E-2</v>
      </c>
      <c r="P17" s="21">
        <v>1.2840000000000001E-2</v>
      </c>
      <c r="Q17" s="22">
        <v>113.4</v>
      </c>
      <c r="R17" s="22">
        <v>59.9</v>
      </c>
      <c r="S17" s="22">
        <v>0.64600000000000002</v>
      </c>
      <c r="T17" s="18">
        <v>0.45900000000000002</v>
      </c>
      <c r="U17" s="18" t="s">
        <v>32</v>
      </c>
      <c r="V17" s="2">
        <v>400</v>
      </c>
      <c r="W17" s="3">
        <v>2</v>
      </c>
      <c r="X17">
        <v>57.66</v>
      </c>
      <c r="Y17">
        <v>57.833333330000002</v>
      </c>
      <c r="Z17">
        <v>179.55426360000001</v>
      </c>
      <c r="AA17">
        <v>3.1053979119999999</v>
      </c>
      <c r="AB17">
        <v>30.21577727</v>
      </c>
      <c r="AC17">
        <v>634.34667000000002</v>
      </c>
      <c r="AD17" s="21">
        <v>6.1500000000000001E-3</v>
      </c>
      <c r="AE17" s="21">
        <v>1.6559999999999998E-2</v>
      </c>
      <c r="AF17" s="21">
        <v>71.099999999999994</v>
      </c>
      <c r="AG17" s="21">
        <v>37.799999999999997</v>
      </c>
      <c r="AH17" s="21">
        <v>0.51</v>
      </c>
      <c r="AI17" s="21">
        <v>0.34100000000000003</v>
      </c>
      <c r="AJ17" s="3" t="s">
        <v>31</v>
      </c>
    </row>
    <row r="18" spans="1:36" x14ac:dyDescent="0.25">
      <c r="A18" s="2">
        <v>16</v>
      </c>
      <c r="B18" s="2" t="s">
        <v>47</v>
      </c>
      <c r="C18" s="2">
        <v>182.73</v>
      </c>
      <c r="D18">
        <v>145</v>
      </c>
      <c r="E18">
        <v>2.7</v>
      </c>
      <c r="F18" s="3">
        <v>39.44</v>
      </c>
      <c r="G18" s="16">
        <v>44496</v>
      </c>
      <c r="H18" s="9">
        <v>73.66</v>
      </c>
      <c r="I18">
        <v>72.400000000000006</v>
      </c>
      <c r="J18">
        <v>184.06</v>
      </c>
      <c r="K18">
        <v>2.54</v>
      </c>
      <c r="L18">
        <v>42.94</v>
      </c>
      <c r="M18" s="28">
        <v>683.25</v>
      </c>
      <c r="N18" s="18" t="s">
        <v>31</v>
      </c>
      <c r="O18" s="21">
        <v>1.7579999999999998E-2</v>
      </c>
      <c r="P18" s="21">
        <v>1.2840000000000001E-2</v>
      </c>
      <c r="Q18" s="22">
        <v>113.4</v>
      </c>
      <c r="R18" s="22">
        <v>59.9</v>
      </c>
      <c r="S18" s="22">
        <v>0.64600000000000002</v>
      </c>
      <c r="T18" s="18">
        <v>0.45900000000000002</v>
      </c>
      <c r="U18" s="18" t="s">
        <v>32</v>
      </c>
      <c r="V18" s="2">
        <v>480</v>
      </c>
      <c r="W18" s="3">
        <v>1</v>
      </c>
      <c r="X18">
        <v>68.400000000000006</v>
      </c>
      <c r="Y18">
        <v>67.666666669999998</v>
      </c>
      <c r="Z18">
        <v>181.39534879999999</v>
      </c>
      <c r="AA18">
        <v>2.6812488509999999</v>
      </c>
      <c r="AB18">
        <v>39.74721684</v>
      </c>
      <c r="AC18">
        <v>652.16</v>
      </c>
      <c r="AD18" s="21">
        <v>2.0699999999999998E-3</v>
      </c>
      <c r="AE18" s="21">
        <v>2.14E-3</v>
      </c>
      <c r="AF18" s="21">
        <v>96.3</v>
      </c>
      <c r="AG18" s="21">
        <v>46.7</v>
      </c>
      <c r="AH18" s="21">
        <v>0.59</v>
      </c>
      <c r="AI18" s="21">
        <v>0.39400000000000002</v>
      </c>
      <c r="AJ18" s="3" t="s">
        <v>31</v>
      </c>
    </row>
    <row r="19" spans="1:36" x14ac:dyDescent="0.25">
      <c r="A19" s="2">
        <v>17</v>
      </c>
      <c r="B19" s="2" t="s">
        <v>48</v>
      </c>
      <c r="C19" s="2">
        <v>182.73</v>
      </c>
      <c r="D19">
        <v>145</v>
      </c>
      <c r="E19">
        <v>2.95</v>
      </c>
      <c r="F19" s="3">
        <v>33.83</v>
      </c>
      <c r="G19" s="16">
        <v>44496</v>
      </c>
      <c r="H19" s="9">
        <v>74.73</v>
      </c>
      <c r="I19">
        <v>75</v>
      </c>
      <c r="J19">
        <v>183.1</v>
      </c>
      <c r="K19">
        <v>2.44</v>
      </c>
      <c r="L19">
        <v>45.14</v>
      </c>
      <c r="M19" s="28">
        <v>683.25</v>
      </c>
      <c r="N19" s="18" t="s">
        <v>31</v>
      </c>
      <c r="O19" s="21">
        <v>1.7579999999999998E-2</v>
      </c>
      <c r="P19" s="21">
        <v>1.2840000000000001E-2</v>
      </c>
      <c r="Q19" s="22">
        <v>113.4</v>
      </c>
      <c r="R19" s="22">
        <v>59.9</v>
      </c>
      <c r="S19" s="22">
        <v>0.64600000000000002</v>
      </c>
      <c r="T19" s="18">
        <v>0.45900000000000002</v>
      </c>
      <c r="U19" s="18" t="s">
        <v>32</v>
      </c>
      <c r="V19" s="2">
        <v>473</v>
      </c>
      <c r="W19" s="3">
        <v>3</v>
      </c>
      <c r="X19">
        <v>62.4</v>
      </c>
      <c r="Y19">
        <v>63.166666669999998</v>
      </c>
      <c r="Z19">
        <v>182.6550388</v>
      </c>
      <c r="AA19">
        <v>2.8919998169999999</v>
      </c>
      <c r="AB19">
        <v>35.011240069999999</v>
      </c>
      <c r="AC19">
        <v>687.36</v>
      </c>
      <c r="AD19" s="21">
        <v>-2.9099999999999998E-3</v>
      </c>
      <c r="AE19" s="21">
        <v>7.5000000000000002E-4</v>
      </c>
      <c r="AF19" s="21">
        <v>92.2</v>
      </c>
      <c r="AG19" s="21">
        <v>42.9</v>
      </c>
      <c r="AH19" s="21">
        <v>0.57299999999999995</v>
      </c>
      <c r="AI19" s="21">
        <v>0.375</v>
      </c>
      <c r="AJ19" s="3" t="s">
        <v>31</v>
      </c>
    </row>
    <row r="20" spans="1:36" x14ac:dyDescent="0.25">
      <c r="A20" s="2">
        <v>18</v>
      </c>
      <c r="B20" s="2" t="s">
        <v>49</v>
      </c>
      <c r="C20" s="2">
        <v>182.73</v>
      </c>
      <c r="D20">
        <v>145</v>
      </c>
      <c r="E20">
        <v>3.2</v>
      </c>
      <c r="F20" s="3">
        <v>28.22</v>
      </c>
      <c r="G20" s="16">
        <v>44496</v>
      </c>
      <c r="H20" s="9">
        <v>74.260000000000005</v>
      </c>
      <c r="I20">
        <v>74</v>
      </c>
      <c r="J20">
        <v>183.04</v>
      </c>
      <c r="K20">
        <v>2.4700000000000002</v>
      </c>
      <c r="L20">
        <v>44.41</v>
      </c>
      <c r="M20" s="28">
        <v>683.25</v>
      </c>
      <c r="N20" s="18" t="s">
        <v>31</v>
      </c>
      <c r="O20" s="21">
        <v>1.7579999999999998E-2</v>
      </c>
      <c r="P20" s="21">
        <v>1.2840000000000001E-2</v>
      </c>
      <c r="Q20" s="22">
        <v>113.4</v>
      </c>
      <c r="R20" s="22">
        <v>59.9</v>
      </c>
      <c r="S20" s="22">
        <v>0.64600000000000002</v>
      </c>
      <c r="T20" s="18">
        <v>0.45900000000000002</v>
      </c>
      <c r="U20" s="18" t="s">
        <v>32</v>
      </c>
      <c r="V20" s="2">
        <v>460</v>
      </c>
      <c r="W20" s="3">
        <v>2</v>
      </c>
      <c r="X20">
        <v>56.6</v>
      </c>
      <c r="Y20">
        <v>57.333333330000002</v>
      </c>
      <c r="Z20">
        <v>179.94186049999999</v>
      </c>
      <c r="AA20">
        <v>3.1388001769999998</v>
      </c>
      <c r="AB20">
        <v>29.465164560000002</v>
      </c>
      <c r="AC20">
        <v>705.6</v>
      </c>
      <c r="AD20" s="21">
        <v>8.1999999999999998E-4</v>
      </c>
      <c r="AE20" s="21">
        <v>2.8999999999999998E-3</v>
      </c>
      <c r="AF20" s="21">
        <v>98.9</v>
      </c>
      <c r="AG20" s="21">
        <v>42</v>
      </c>
      <c r="AH20" s="21">
        <v>0.59199999999999997</v>
      </c>
      <c r="AI20" s="21">
        <v>0.35899999999999999</v>
      </c>
      <c r="AJ20" s="3" t="s">
        <v>31</v>
      </c>
    </row>
    <row r="21" spans="1:36" ht="15.75" thickBot="1" x14ac:dyDescent="0.3">
      <c r="A21" s="2"/>
      <c r="C21" s="6"/>
      <c r="D21" s="7"/>
      <c r="E21" s="7"/>
      <c r="F21" s="8"/>
    </row>
    <row r="22" spans="1:36" s="24" customFormat="1" ht="15" customHeight="1" thickBot="1" x14ac:dyDescent="0.3">
      <c r="A22" s="23"/>
      <c r="B22" s="53" t="s">
        <v>50</v>
      </c>
      <c r="C22" s="56" t="s">
        <v>1</v>
      </c>
      <c r="D22" s="56"/>
      <c r="E22" s="56"/>
      <c r="F22" s="59"/>
      <c r="G22" s="55" t="str">
        <f>G1</f>
        <v>Calendering date</v>
      </c>
      <c r="H22" s="60" t="s">
        <v>3</v>
      </c>
      <c r="I22" s="61"/>
      <c r="J22" s="61"/>
      <c r="K22" s="61"/>
      <c r="L22" s="61"/>
      <c r="M22" s="62"/>
      <c r="N22" s="63" t="s">
        <v>4</v>
      </c>
      <c r="O22" s="63"/>
      <c r="P22" s="63"/>
      <c r="Q22" s="63"/>
      <c r="R22" s="63"/>
      <c r="S22" s="63"/>
      <c r="T22" s="63"/>
      <c r="U22" s="63"/>
      <c r="V22" s="64" t="s">
        <v>5</v>
      </c>
      <c r="W22" s="65"/>
      <c r="X22" s="63" t="s">
        <v>6</v>
      </c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5"/>
    </row>
    <row r="23" spans="1:36" s="13" customFormat="1" ht="75" x14ac:dyDescent="0.25">
      <c r="A23" s="25" t="str">
        <f>A2</f>
        <v>No</v>
      </c>
      <c r="B23" s="25" t="str">
        <f>B2</f>
        <v>Electrode ID (P-porous, M-medium, D-dense)</v>
      </c>
      <c r="C23" s="51" t="str">
        <f>C2</f>
        <v>Target coating weight (GSM)</v>
      </c>
      <c r="D23" s="1" t="str">
        <f t="shared" ref="D23:AC23" si="0">D2</f>
        <v>Roll temperature (oC)</v>
      </c>
      <c r="E23" s="1" t="str">
        <f t="shared" si="0"/>
        <v>Target density (g/cm3)</v>
      </c>
      <c r="F23" s="52" t="str">
        <f t="shared" si="0"/>
        <v>Calculated target porosity (%)</v>
      </c>
      <c r="G23" s="56"/>
      <c r="H23" s="25" t="str">
        <f t="shared" si="0"/>
        <v>Coating thickness (um) from sheet</v>
      </c>
      <c r="I23" s="13" t="str">
        <f t="shared" si="0"/>
        <v>Coating thickness from discs (um)</v>
      </c>
      <c r="J23" s="13" t="str">
        <f t="shared" si="0"/>
        <v>Coating weight from discs (gsm)</v>
      </c>
      <c r="K23" s="13" t="str">
        <f t="shared" si="0"/>
        <v>Density from discs (g/cm3)</v>
      </c>
      <c r="L23" s="13" t="str">
        <f t="shared" si="0"/>
        <v>Porosity from discs (%)</v>
      </c>
      <c r="M23" s="26" t="str">
        <f t="shared" si="0"/>
        <v>Electrode max. tensile strength (kPa)</v>
      </c>
      <c r="N23" s="13" t="str">
        <f t="shared" si="0"/>
        <v>SEM/EDS analysis performed (Y/N)</v>
      </c>
      <c r="T23" s="13" t="str">
        <f t="shared" si="0"/>
        <v>Moran I score in fluorine</v>
      </c>
      <c r="U23" s="13" t="str">
        <f t="shared" si="0"/>
        <v>Observed cracks in particles (Y/N)</v>
      </c>
      <c r="V23" s="25" t="str">
        <f t="shared" si="0"/>
        <v>Roll gap (um)- includes 2 shims  of ~500 um</v>
      </c>
      <c r="W23" s="26" t="str">
        <f t="shared" si="0"/>
        <v>Number of passes</v>
      </c>
      <c r="X23" s="13" t="str">
        <f t="shared" si="0"/>
        <v>Coating  thickness from sheet (um)</v>
      </c>
      <c r="Y23" s="13" t="str">
        <f t="shared" si="0"/>
        <v>Coating thickness from discs (um)</v>
      </c>
      <c r="Z23" s="13" t="str">
        <f t="shared" si="0"/>
        <v>Coating weight from discs (gsm)</v>
      </c>
      <c r="AA23" s="13" t="str">
        <f t="shared" si="0"/>
        <v>Density from discs (g/cm3)</v>
      </c>
      <c r="AB23" s="13" t="str">
        <f t="shared" si="0"/>
        <v>Porosity from discs (%)</v>
      </c>
      <c r="AC23" s="13" t="str">
        <f t="shared" si="0"/>
        <v>Electrode max. tensile strength (kPa)</v>
      </c>
      <c r="AI23" s="15" t="s">
        <v>51</v>
      </c>
      <c r="AJ23" s="26" t="s">
        <v>26</v>
      </c>
    </row>
    <row r="24" spans="1:36" x14ac:dyDescent="0.25">
      <c r="A24" s="2">
        <f>A3</f>
        <v>1</v>
      </c>
      <c r="B24" s="2" t="str">
        <f>B3</f>
        <v>NEX_CAT_240_L_85_P</v>
      </c>
      <c r="C24" s="2">
        <v>1.5</v>
      </c>
      <c r="D24">
        <v>85</v>
      </c>
      <c r="E24">
        <v>2.7</v>
      </c>
      <c r="F24" s="3">
        <v>39.44</v>
      </c>
      <c r="G24" s="16">
        <f>G3</f>
        <v>44484</v>
      </c>
      <c r="H24" s="9">
        <v>0.8</v>
      </c>
      <c r="I24">
        <v>0.47</v>
      </c>
      <c r="J24">
        <v>0.33</v>
      </c>
      <c r="K24">
        <v>2.1000000000000001E-2</v>
      </c>
      <c r="L24">
        <v>0.48</v>
      </c>
      <c r="M24" s="28">
        <v>52.55</v>
      </c>
      <c r="N24" s="19"/>
      <c r="O24" s="19"/>
      <c r="P24" s="19"/>
      <c r="Q24" s="19"/>
      <c r="R24" s="19"/>
      <c r="S24" s="19"/>
      <c r="T24" s="19"/>
      <c r="U24" s="19"/>
      <c r="X24">
        <v>0.68</v>
      </c>
      <c r="Y24">
        <v>0.68718427100000001</v>
      </c>
      <c r="Z24">
        <v>1.3286152330000001</v>
      </c>
      <c r="AA24">
        <v>5.6769242999999997E-2</v>
      </c>
      <c r="AB24">
        <v>1.2757133270000001</v>
      </c>
      <c r="AC24">
        <v>36.444659999999999</v>
      </c>
    </row>
    <row r="25" spans="1:36" x14ac:dyDescent="0.25">
      <c r="A25" s="2">
        <f t="shared" ref="A25:A41" si="1">A4</f>
        <v>2</v>
      </c>
      <c r="B25" s="2" t="str">
        <f>B4</f>
        <v>NEX_CAT_240_L_85_M</v>
      </c>
      <c r="C25" s="2">
        <v>1.5</v>
      </c>
      <c r="D25">
        <f>D4</f>
        <v>85</v>
      </c>
      <c r="E25">
        <f>E4</f>
        <v>2.95</v>
      </c>
      <c r="F25" s="3">
        <f>F4</f>
        <v>33.83</v>
      </c>
      <c r="G25" s="16">
        <f>G4</f>
        <v>44484</v>
      </c>
      <c r="H25" s="9">
        <v>1.08</v>
      </c>
      <c r="I25">
        <v>0.76</v>
      </c>
      <c r="J25">
        <v>2.0299999999999998</v>
      </c>
      <c r="K25">
        <v>3.3000000000000002E-2</v>
      </c>
      <c r="L25">
        <v>0.76</v>
      </c>
      <c r="M25" s="28">
        <v>52.55</v>
      </c>
      <c r="N25" s="19"/>
      <c r="O25" s="19"/>
      <c r="P25" s="19"/>
      <c r="Q25" s="19"/>
      <c r="R25" s="19"/>
      <c r="S25" s="19"/>
      <c r="T25" s="19"/>
      <c r="U25" s="19"/>
      <c r="X25">
        <v>0.6</v>
      </c>
      <c r="Y25">
        <v>0.47140452100000002</v>
      </c>
      <c r="Z25">
        <v>0.80490541299999996</v>
      </c>
      <c r="AA25">
        <v>2.7897238000000001E-2</v>
      </c>
      <c r="AB25">
        <v>0.62690422999999995</v>
      </c>
      <c r="AC25">
        <v>42.434950000000001</v>
      </c>
    </row>
    <row r="26" spans="1:36" x14ac:dyDescent="0.25">
      <c r="A26" s="2">
        <f t="shared" si="1"/>
        <v>3</v>
      </c>
      <c r="B26" s="2" t="str">
        <f t="shared" ref="B26:G26" si="2">B5</f>
        <v>NEX_CAT_240_L_85_D</v>
      </c>
      <c r="C26" s="2">
        <v>1.5</v>
      </c>
      <c r="D26">
        <f t="shared" si="2"/>
        <v>85</v>
      </c>
      <c r="E26">
        <f t="shared" si="2"/>
        <v>3.2</v>
      </c>
      <c r="F26" s="3">
        <f t="shared" si="2"/>
        <v>28.22</v>
      </c>
      <c r="G26" s="16">
        <f t="shared" si="2"/>
        <v>44484</v>
      </c>
      <c r="H26" s="9">
        <v>0.87</v>
      </c>
      <c r="I26">
        <v>0.76</v>
      </c>
      <c r="J26">
        <v>1.1100000000000001</v>
      </c>
      <c r="K26">
        <v>3.6999999999999998E-2</v>
      </c>
      <c r="L26">
        <v>0.84</v>
      </c>
      <c r="M26" s="28">
        <v>52.55</v>
      </c>
      <c r="N26" s="19"/>
      <c r="O26" s="19"/>
      <c r="P26" s="19"/>
      <c r="Q26" s="19"/>
      <c r="R26" s="19"/>
      <c r="S26" s="19"/>
      <c r="T26" s="19"/>
      <c r="U26" s="19"/>
      <c r="X26">
        <v>0.6</v>
      </c>
      <c r="Y26">
        <v>0.37267799600000001</v>
      </c>
      <c r="Z26">
        <v>1.24091555</v>
      </c>
      <c r="AA26">
        <v>4.5398670000000002E-2</v>
      </c>
      <c r="AB26">
        <v>1.020194831</v>
      </c>
      <c r="AC26">
        <v>62.5794</v>
      </c>
    </row>
    <row r="27" spans="1:36" x14ac:dyDescent="0.25">
      <c r="A27" s="2">
        <f t="shared" si="1"/>
        <v>4</v>
      </c>
      <c r="B27" s="2" t="str">
        <f t="shared" ref="B27:G27" si="3">B6</f>
        <v>NEX_CAT_240_L_120_P</v>
      </c>
      <c r="C27" s="2">
        <v>1.5</v>
      </c>
      <c r="D27">
        <f t="shared" si="3"/>
        <v>120</v>
      </c>
      <c r="E27">
        <f t="shared" si="3"/>
        <v>2.7</v>
      </c>
      <c r="F27" s="3">
        <f t="shared" si="3"/>
        <v>39.44</v>
      </c>
      <c r="G27" s="16">
        <f t="shared" si="3"/>
        <v>44487</v>
      </c>
      <c r="H27" s="5">
        <v>0.49</v>
      </c>
      <c r="I27" s="11">
        <v>0.89700000000000002</v>
      </c>
      <c r="J27" s="11">
        <v>1.95</v>
      </c>
      <c r="K27" s="11">
        <v>1.9900000000000001E-2</v>
      </c>
      <c r="L27" s="11">
        <v>0.45</v>
      </c>
      <c r="M27" s="28">
        <v>52.55</v>
      </c>
      <c r="N27" s="19"/>
      <c r="O27" s="19"/>
      <c r="P27" s="19"/>
      <c r="Q27" s="19"/>
      <c r="R27" s="19"/>
      <c r="S27" s="19"/>
      <c r="T27" s="19"/>
      <c r="U27" s="19"/>
      <c r="X27">
        <v>0.97</v>
      </c>
      <c r="Y27">
        <v>0.68718427100000001</v>
      </c>
      <c r="Z27">
        <v>0.78122652599999998</v>
      </c>
      <c r="AA27">
        <v>4.8363719999999999E-2</v>
      </c>
      <c r="AB27">
        <v>1.086825172</v>
      </c>
      <c r="AC27">
        <v>24.5442</v>
      </c>
    </row>
    <row r="28" spans="1:36" x14ac:dyDescent="0.25">
      <c r="A28" s="2">
        <f t="shared" si="1"/>
        <v>5</v>
      </c>
      <c r="B28" s="2" t="str">
        <f t="shared" ref="B28:G28" si="4">B7</f>
        <v>NEX_CAT_240_L_120_M</v>
      </c>
      <c r="C28" s="2">
        <v>1.5</v>
      </c>
      <c r="D28">
        <f t="shared" si="4"/>
        <v>120</v>
      </c>
      <c r="E28">
        <f t="shared" si="4"/>
        <v>2.95</v>
      </c>
      <c r="F28" s="3">
        <f t="shared" si="4"/>
        <v>33.83</v>
      </c>
      <c r="G28" s="16">
        <f t="shared" si="4"/>
        <v>44487</v>
      </c>
      <c r="H28" s="9">
        <v>0.98</v>
      </c>
      <c r="I28">
        <v>0.98</v>
      </c>
      <c r="J28">
        <v>1.59</v>
      </c>
      <c r="K28">
        <v>4.8899999999999999E-2</v>
      </c>
      <c r="L28">
        <v>1.1000000000000001</v>
      </c>
      <c r="M28" s="28">
        <v>52.55</v>
      </c>
      <c r="N28" s="19"/>
      <c r="O28" s="19"/>
      <c r="P28" s="19"/>
      <c r="Q28" s="19"/>
      <c r="R28" s="19"/>
      <c r="S28" s="19"/>
      <c r="T28" s="19"/>
      <c r="U28" s="19"/>
      <c r="X28">
        <v>0.81</v>
      </c>
      <c r="Y28">
        <v>1.1547005379999999</v>
      </c>
      <c r="Z28">
        <v>2.2181246400000001</v>
      </c>
      <c r="AA28">
        <v>0.107297371</v>
      </c>
      <c r="AB28">
        <v>2.4111768769999999</v>
      </c>
      <c r="AC28">
        <v>49.749949999999998</v>
      </c>
    </row>
    <row r="29" spans="1:36" x14ac:dyDescent="0.25">
      <c r="A29" s="2">
        <f t="shared" si="1"/>
        <v>6</v>
      </c>
      <c r="B29" s="2" t="str">
        <f t="shared" ref="B29:G29" si="5">B8</f>
        <v>NEX_CAT_240_L_120_D</v>
      </c>
      <c r="C29" s="2">
        <v>1.5</v>
      </c>
      <c r="D29">
        <f>D8</f>
        <v>120</v>
      </c>
      <c r="E29">
        <f t="shared" si="5"/>
        <v>3.2</v>
      </c>
      <c r="F29" s="3">
        <f t="shared" si="5"/>
        <v>28.22</v>
      </c>
      <c r="G29" s="16">
        <f t="shared" si="5"/>
        <v>44487</v>
      </c>
      <c r="H29" s="5">
        <v>0.62</v>
      </c>
      <c r="I29" s="11">
        <v>1.34</v>
      </c>
      <c r="J29" s="11">
        <v>1.94</v>
      </c>
      <c r="K29" s="11">
        <v>3.5000000000000003E-2</v>
      </c>
      <c r="L29" s="11">
        <v>0.79</v>
      </c>
      <c r="M29" s="28">
        <v>52.55</v>
      </c>
      <c r="N29" s="19"/>
      <c r="O29" s="19"/>
      <c r="P29" s="19"/>
      <c r="Q29" s="19"/>
      <c r="R29" s="19"/>
      <c r="S29" s="19"/>
      <c r="T29" s="19"/>
      <c r="U29" s="19"/>
      <c r="X29">
        <v>0.93</v>
      </c>
      <c r="Y29">
        <v>0.5</v>
      </c>
      <c r="Z29">
        <v>1.0614778250000001</v>
      </c>
      <c r="AA29">
        <v>5.6198873000000003E-2</v>
      </c>
      <c r="AB29">
        <v>1.2628960229999999</v>
      </c>
      <c r="AC29">
        <v>43.758369999999999</v>
      </c>
    </row>
    <row r="30" spans="1:36" x14ac:dyDescent="0.25">
      <c r="A30" s="2">
        <f t="shared" si="1"/>
        <v>7</v>
      </c>
      <c r="B30" s="2" t="str">
        <f t="shared" ref="B30:G30" si="6">B9</f>
        <v>NEX_CAT_240_L_145_P</v>
      </c>
      <c r="C30" s="2">
        <v>1.5</v>
      </c>
      <c r="D30">
        <f t="shared" si="6"/>
        <v>145</v>
      </c>
      <c r="E30">
        <f t="shared" si="6"/>
        <v>2.7</v>
      </c>
      <c r="F30" s="3">
        <f t="shared" si="6"/>
        <v>39.44</v>
      </c>
      <c r="G30" s="16">
        <f t="shared" si="6"/>
        <v>44496</v>
      </c>
      <c r="H30" s="9">
        <v>0.75</v>
      </c>
      <c r="I30">
        <v>0.4</v>
      </c>
      <c r="J30">
        <v>1.19</v>
      </c>
      <c r="K30">
        <v>1.7999999999999999E-2</v>
      </c>
      <c r="L30">
        <v>0.4</v>
      </c>
      <c r="M30" s="28">
        <v>52.55</v>
      </c>
      <c r="N30" s="19"/>
      <c r="O30" s="19"/>
      <c r="P30" s="19"/>
      <c r="Q30" s="19"/>
      <c r="R30" s="19"/>
      <c r="S30" s="19"/>
      <c r="T30" s="19"/>
      <c r="U30" s="19"/>
      <c r="X30">
        <v>2.86</v>
      </c>
      <c r="Y30">
        <v>1.343709625</v>
      </c>
      <c r="Z30">
        <v>1.3179719489999999</v>
      </c>
      <c r="AA30">
        <v>7.5898028000000006E-2</v>
      </c>
      <c r="AB30">
        <v>1.7055736699999999</v>
      </c>
      <c r="AC30">
        <v>41.165680000000002</v>
      </c>
    </row>
    <row r="31" spans="1:36" x14ac:dyDescent="0.25">
      <c r="A31" s="2">
        <f t="shared" si="1"/>
        <v>8</v>
      </c>
      <c r="B31" s="2" t="str">
        <f t="shared" ref="B31:G31" si="7">B10</f>
        <v>NEX_CAT_240_L_145_M</v>
      </c>
      <c r="C31" s="2">
        <v>1.5</v>
      </c>
      <c r="D31">
        <f t="shared" si="7"/>
        <v>145</v>
      </c>
      <c r="E31">
        <f t="shared" si="7"/>
        <v>2.95</v>
      </c>
      <c r="F31" s="3">
        <f t="shared" si="7"/>
        <v>33.83</v>
      </c>
      <c r="G31" s="16">
        <f t="shared" si="7"/>
        <v>44496</v>
      </c>
      <c r="H31" s="9">
        <v>0.72</v>
      </c>
      <c r="I31">
        <v>1.07</v>
      </c>
      <c r="J31">
        <v>2.16</v>
      </c>
      <c r="K31">
        <v>1.4E-2</v>
      </c>
      <c r="L31">
        <v>0.31</v>
      </c>
      <c r="M31" s="28">
        <v>52.55</v>
      </c>
      <c r="N31" s="19"/>
      <c r="O31" s="19"/>
      <c r="P31" s="19"/>
      <c r="Q31" s="19"/>
      <c r="R31" s="19"/>
      <c r="S31" s="19"/>
      <c r="T31" s="19"/>
      <c r="U31" s="19"/>
      <c r="X31">
        <v>0.93</v>
      </c>
      <c r="Y31">
        <v>0.57735026899999997</v>
      </c>
      <c r="Z31">
        <v>1.0070062829999999</v>
      </c>
      <c r="AA31">
        <v>4.7007347999999997E-2</v>
      </c>
      <c r="AB31">
        <v>1.056344891</v>
      </c>
      <c r="AC31">
        <v>70.745519999999999</v>
      </c>
    </row>
    <row r="32" spans="1:36" x14ac:dyDescent="0.25">
      <c r="A32" s="2">
        <f t="shared" si="1"/>
        <v>9</v>
      </c>
      <c r="B32" s="2" t="str">
        <f t="shared" ref="B32:G32" si="8">B11</f>
        <v>NEX_CAT_240_L_145_D</v>
      </c>
      <c r="C32" s="2">
        <v>1.5</v>
      </c>
      <c r="D32">
        <f t="shared" si="8"/>
        <v>145</v>
      </c>
      <c r="E32">
        <f t="shared" si="8"/>
        <v>3.2</v>
      </c>
      <c r="F32" s="3">
        <f t="shared" si="8"/>
        <v>28.22</v>
      </c>
      <c r="G32" s="16">
        <f t="shared" si="8"/>
        <v>44496</v>
      </c>
      <c r="H32" s="9">
        <v>0.62</v>
      </c>
      <c r="I32">
        <v>0.63</v>
      </c>
      <c r="J32">
        <v>1.44</v>
      </c>
      <c r="K32">
        <v>2.3E-2</v>
      </c>
      <c r="L32">
        <v>0.52</v>
      </c>
      <c r="M32" s="28">
        <v>52.55</v>
      </c>
      <c r="N32" s="19"/>
      <c r="O32" s="19"/>
      <c r="P32" s="19"/>
      <c r="Q32" s="19"/>
      <c r="R32" s="19"/>
      <c r="S32" s="19"/>
      <c r="T32" s="19"/>
      <c r="U32" s="19"/>
      <c r="X32">
        <v>0.62</v>
      </c>
      <c r="Y32">
        <v>0.74535599200000002</v>
      </c>
      <c r="Z32">
        <v>2.166732536</v>
      </c>
      <c r="AA32">
        <v>1.9409981E-2</v>
      </c>
      <c r="AB32">
        <v>0.436179339</v>
      </c>
      <c r="AC32">
        <v>33.952860000000001</v>
      </c>
    </row>
    <row r="33" spans="1:36" x14ac:dyDescent="0.25">
      <c r="A33" s="2">
        <f t="shared" si="1"/>
        <v>10</v>
      </c>
      <c r="B33" s="2" t="str">
        <f t="shared" ref="B33:G33" si="9">B12</f>
        <v>NEX_CAT_240_H_85_P</v>
      </c>
      <c r="C33" s="2">
        <v>1.32</v>
      </c>
      <c r="D33">
        <f t="shared" si="9"/>
        <v>85</v>
      </c>
      <c r="E33">
        <f t="shared" si="9"/>
        <v>2.7</v>
      </c>
      <c r="F33" s="3">
        <f t="shared" si="9"/>
        <v>39.44</v>
      </c>
      <c r="G33" s="16">
        <f t="shared" si="9"/>
        <v>44484</v>
      </c>
      <c r="H33" s="9">
        <v>1.04</v>
      </c>
      <c r="I33">
        <v>0.47</v>
      </c>
      <c r="J33">
        <v>0.52</v>
      </c>
      <c r="K33">
        <v>1.6E-2</v>
      </c>
      <c r="L33">
        <v>0.35</v>
      </c>
      <c r="M33" s="29">
        <v>35.979999999999997</v>
      </c>
      <c r="N33" s="19"/>
      <c r="O33" s="19"/>
      <c r="P33" s="19"/>
      <c r="Q33" s="19"/>
      <c r="R33" s="19"/>
      <c r="S33" s="19"/>
      <c r="T33" s="19"/>
      <c r="U33" s="19"/>
      <c r="X33">
        <v>0.73</v>
      </c>
      <c r="Y33">
        <v>0.89752746800000005</v>
      </c>
      <c r="Z33">
        <v>0.934462283</v>
      </c>
      <c r="AA33">
        <v>3.2061244000000003E-2</v>
      </c>
      <c r="AB33">
        <v>0.72047739300000002</v>
      </c>
      <c r="AC33">
        <v>9.2901900000000008</v>
      </c>
    </row>
    <row r="34" spans="1:36" x14ac:dyDescent="0.25">
      <c r="A34" s="2">
        <f t="shared" si="1"/>
        <v>11</v>
      </c>
      <c r="B34" s="2" t="str">
        <f t="shared" ref="B34:G34" si="10">B13</f>
        <v>NEX_CAT_240_H_85_M</v>
      </c>
      <c r="C34" s="2">
        <v>1.32</v>
      </c>
      <c r="D34">
        <f t="shared" si="10"/>
        <v>85</v>
      </c>
      <c r="E34">
        <f t="shared" si="10"/>
        <v>2.95</v>
      </c>
      <c r="F34" s="3">
        <f t="shared" si="10"/>
        <v>33.83</v>
      </c>
      <c r="G34" s="16">
        <f t="shared" si="10"/>
        <v>44484</v>
      </c>
      <c r="H34" s="9">
        <v>0.94</v>
      </c>
      <c r="I34">
        <v>0.74</v>
      </c>
      <c r="J34">
        <v>1.49</v>
      </c>
      <c r="K34">
        <v>1.7999999999999999E-2</v>
      </c>
      <c r="L34">
        <v>0.42</v>
      </c>
      <c r="M34" s="29">
        <v>35.979999999999997</v>
      </c>
      <c r="N34" s="19"/>
      <c r="O34" s="19"/>
      <c r="P34" s="19"/>
      <c r="Q34" s="19"/>
      <c r="R34" s="19"/>
      <c r="S34" s="19"/>
      <c r="T34" s="19"/>
      <c r="U34" s="19"/>
      <c r="X34">
        <v>0.62</v>
      </c>
      <c r="Y34">
        <v>0.5</v>
      </c>
      <c r="Z34">
        <v>0.75057816799999999</v>
      </c>
      <c r="AA34">
        <v>3.1763345999999998E-2</v>
      </c>
      <c r="AB34">
        <v>0.713783057</v>
      </c>
      <c r="AC34">
        <v>56.367870000000003</v>
      </c>
    </row>
    <row r="35" spans="1:36" x14ac:dyDescent="0.25">
      <c r="A35" s="2">
        <f t="shared" si="1"/>
        <v>12</v>
      </c>
      <c r="B35" s="2" t="str">
        <f t="shared" ref="B35:G35" si="11">B14</f>
        <v>NEX_CAT_240_H_85_D</v>
      </c>
      <c r="C35" s="2">
        <v>1.32</v>
      </c>
      <c r="D35">
        <f t="shared" si="11"/>
        <v>85</v>
      </c>
      <c r="E35">
        <f t="shared" si="11"/>
        <v>3.2</v>
      </c>
      <c r="F35" s="3">
        <f t="shared" si="11"/>
        <v>28.22</v>
      </c>
      <c r="G35" s="16">
        <f t="shared" si="11"/>
        <v>44484</v>
      </c>
      <c r="H35" s="9">
        <v>1.04</v>
      </c>
      <c r="I35">
        <v>0.71</v>
      </c>
      <c r="J35">
        <v>2.19</v>
      </c>
      <c r="K35">
        <v>3.9E-2</v>
      </c>
      <c r="L35">
        <v>0.76</v>
      </c>
      <c r="M35" s="29">
        <v>35.979999999999997</v>
      </c>
      <c r="N35" s="19"/>
      <c r="O35" s="19"/>
      <c r="P35" s="19"/>
      <c r="Q35" s="19"/>
      <c r="R35" s="19"/>
      <c r="S35" s="19"/>
      <c r="T35" s="19"/>
      <c r="U35" s="19"/>
      <c r="X35">
        <v>0.77</v>
      </c>
      <c r="Y35">
        <v>0.57735026899999997</v>
      </c>
      <c r="Z35">
        <v>1.861373325</v>
      </c>
      <c r="AA35">
        <v>2.7488673000000002E-2</v>
      </c>
      <c r="AB35">
        <v>0.61772298599999997</v>
      </c>
      <c r="AC35">
        <v>48.847549999999998</v>
      </c>
    </row>
    <row r="36" spans="1:36" x14ac:dyDescent="0.25">
      <c r="A36" s="2">
        <f t="shared" si="1"/>
        <v>13</v>
      </c>
      <c r="B36" s="2" t="str">
        <f t="shared" ref="B36:G36" si="12">B15</f>
        <v>NEX_CAT_240_H_120_P</v>
      </c>
      <c r="C36" s="2">
        <v>1.32</v>
      </c>
      <c r="D36">
        <f t="shared" si="12"/>
        <v>120</v>
      </c>
      <c r="E36">
        <f t="shared" si="12"/>
        <v>2.7</v>
      </c>
      <c r="F36" s="3">
        <f t="shared" si="12"/>
        <v>39.44</v>
      </c>
      <c r="G36" s="16">
        <f t="shared" si="12"/>
        <v>44487</v>
      </c>
      <c r="H36" s="9">
        <v>0.71</v>
      </c>
      <c r="I36">
        <v>0.57999999999999996</v>
      </c>
      <c r="J36">
        <v>1.41</v>
      </c>
      <c r="K36">
        <v>2.1999999999999999E-2</v>
      </c>
      <c r="L36">
        <v>0.5</v>
      </c>
      <c r="M36" s="29">
        <v>35.979999999999997</v>
      </c>
      <c r="N36" s="19"/>
      <c r="O36" s="19"/>
      <c r="P36" s="19"/>
      <c r="Q36" s="19"/>
      <c r="R36" s="19"/>
      <c r="S36" s="19"/>
      <c r="T36" s="19"/>
      <c r="U36" s="19"/>
      <c r="X36">
        <v>0.79</v>
      </c>
      <c r="Y36">
        <v>0.47140452100000002</v>
      </c>
      <c r="Z36">
        <v>0.78122652599999998</v>
      </c>
      <c r="AA36">
        <v>1.0215146E-2</v>
      </c>
      <c r="AB36">
        <v>0.22955384000000001</v>
      </c>
      <c r="AC36">
        <v>63.784529999999997</v>
      </c>
    </row>
    <row r="37" spans="1:36" x14ac:dyDescent="0.25">
      <c r="A37" s="2">
        <f t="shared" si="1"/>
        <v>14</v>
      </c>
      <c r="B37" s="2" t="str">
        <f t="shared" ref="B37:G37" si="13">B16</f>
        <v>NEX_CAT_240_H_120_M</v>
      </c>
      <c r="C37" s="2">
        <v>1.32</v>
      </c>
      <c r="D37">
        <f t="shared" si="13"/>
        <v>120</v>
      </c>
      <c r="E37">
        <f t="shared" si="13"/>
        <v>2.95</v>
      </c>
      <c r="F37" s="3">
        <f t="shared" si="13"/>
        <v>33.83</v>
      </c>
      <c r="G37" s="16">
        <f t="shared" si="13"/>
        <v>44487</v>
      </c>
      <c r="H37" s="9">
        <v>0.71</v>
      </c>
      <c r="I37">
        <v>0.76</v>
      </c>
      <c r="J37">
        <v>1.19</v>
      </c>
      <c r="K37">
        <v>2.07E-2</v>
      </c>
      <c r="L37">
        <v>0.47</v>
      </c>
      <c r="M37" s="29">
        <v>35.979999999999997</v>
      </c>
      <c r="N37" s="19"/>
      <c r="O37" s="19"/>
      <c r="P37" s="19"/>
      <c r="Q37" s="19"/>
      <c r="R37" s="19"/>
      <c r="S37" s="19"/>
      <c r="T37" s="19"/>
      <c r="U37" s="19"/>
      <c r="X37">
        <v>0.83</v>
      </c>
      <c r="Y37">
        <v>0.94280904200000004</v>
      </c>
      <c r="Z37">
        <v>0.64275674199999999</v>
      </c>
      <c r="AA37">
        <v>4.5738945000000003E-2</v>
      </c>
      <c r="AB37">
        <v>1.0278414579999999</v>
      </c>
      <c r="AC37">
        <v>44.173639999999999</v>
      </c>
    </row>
    <row r="38" spans="1:36" x14ac:dyDescent="0.25">
      <c r="A38" s="2">
        <f t="shared" si="1"/>
        <v>15</v>
      </c>
      <c r="B38" s="2" t="str">
        <f t="shared" ref="B38:G38" si="14">B17</f>
        <v>NEX_CAT_240_H_120_D</v>
      </c>
      <c r="C38" s="2">
        <v>1.32</v>
      </c>
      <c r="D38">
        <f t="shared" si="14"/>
        <v>120</v>
      </c>
      <c r="E38">
        <f t="shared" si="14"/>
        <v>3.2</v>
      </c>
      <c r="F38" s="3">
        <f t="shared" si="14"/>
        <v>28.22</v>
      </c>
      <c r="G38" s="16">
        <f t="shared" si="14"/>
        <v>44487</v>
      </c>
      <c r="H38" s="9">
        <v>0.87</v>
      </c>
      <c r="I38">
        <v>0.75</v>
      </c>
      <c r="J38">
        <v>0.82</v>
      </c>
      <c r="K38">
        <v>2.3E-2</v>
      </c>
      <c r="L38">
        <v>0.52</v>
      </c>
      <c r="M38" s="29">
        <v>35.979999999999997</v>
      </c>
      <c r="N38" s="19"/>
      <c r="O38" s="19"/>
      <c r="P38" s="19"/>
      <c r="Q38" s="19"/>
      <c r="R38" s="19"/>
      <c r="S38" s="19"/>
      <c r="T38" s="19"/>
      <c r="U38" s="19"/>
      <c r="X38">
        <v>0.7</v>
      </c>
      <c r="Y38">
        <v>0.68718427100000001</v>
      </c>
      <c r="Z38">
        <v>2.0348837209999999</v>
      </c>
      <c r="AA38">
        <v>6.5767338999999994E-2</v>
      </c>
      <c r="AB38">
        <v>1.4779177379999999</v>
      </c>
      <c r="AC38">
        <v>74.721029999999999</v>
      </c>
    </row>
    <row r="39" spans="1:36" x14ac:dyDescent="0.25">
      <c r="A39" s="2">
        <f t="shared" si="1"/>
        <v>16</v>
      </c>
      <c r="B39" s="2" t="str">
        <f t="shared" ref="B39:G39" si="15">B18</f>
        <v>NEX_CAT_240_H_145_P</v>
      </c>
      <c r="C39" s="2">
        <v>1.32</v>
      </c>
      <c r="D39">
        <f t="shared" si="15"/>
        <v>145</v>
      </c>
      <c r="E39">
        <f t="shared" si="15"/>
        <v>2.7</v>
      </c>
      <c r="F39" s="3">
        <f t="shared" si="15"/>
        <v>39.44</v>
      </c>
      <c r="G39" s="16">
        <f t="shared" si="15"/>
        <v>44496</v>
      </c>
      <c r="H39" s="9">
        <v>0.79</v>
      </c>
      <c r="I39">
        <v>0.49</v>
      </c>
      <c r="J39">
        <v>1.94</v>
      </c>
      <c r="K39">
        <v>0.04</v>
      </c>
      <c r="L39">
        <v>0.88</v>
      </c>
      <c r="M39" s="29">
        <v>35.979999999999997</v>
      </c>
      <c r="N39" s="19"/>
      <c r="O39" s="19"/>
      <c r="P39" s="19"/>
      <c r="Q39" s="19"/>
      <c r="R39" s="19"/>
      <c r="S39" s="19"/>
      <c r="T39" s="19"/>
      <c r="U39" s="19"/>
      <c r="X39">
        <v>1.49</v>
      </c>
      <c r="Y39">
        <v>0.94280904200000004</v>
      </c>
      <c r="Z39">
        <v>0.86669301499999996</v>
      </c>
      <c r="AA39">
        <v>4.0120546999999999E-2</v>
      </c>
      <c r="AB39">
        <v>0.90158532599999996</v>
      </c>
      <c r="AC39">
        <v>38.67062</v>
      </c>
    </row>
    <row r="40" spans="1:36" x14ac:dyDescent="0.25">
      <c r="A40" s="2">
        <f t="shared" si="1"/>
        <v>17</v>
      </c>
      <c r="B40" s="2" t="str">
        <f t="shared" ref="B40:G40" si="16">B19</f>
        <v>NEX_CAT_240_H_145_M</v>
      </c>
      <c r="C40" s="2">
        <v>1.32</v>
      </c>
      <c r="D40">
        <f t="shared" si="16"/>
        <v>145</v>
      </c>
      <c r="E40">
        <f t="shared" si="16"/>
        <v>2.95</v>
      </c>
      <c r="F40" s="3">
        <f t="shared" si="16"/>
        <v>33.83</v>
      </c>
      <c r="G40" s="16">
        <f t="shared" si="16"/>
        <v>44496</v>
      </c>
      <c r="H40" s="9">
        <v>0.68</v>
      </c>
      <c r="I40">
        <v>0.63</v>
      </c>
      <c r="J40">
        <v>0.79</v>
      </c>
      <c r="K40">
        <v>1.4999999999999999E-2</v>
      </c>
      <c r="L40">
        <v>0.34</v>
      </c>
      <c r="M40" s="29">
        <v>35.979999999999997</v>
      </c>
      <c r="N40" s="19"/>
      <c r="O40" s="19"/>
      <c r="P40" s="19"/>
      <c r="Q40" s="19"/>
      <c r="R40" s="19"/>
      <c r="S40" s="19"/>
      <c r="T40" s="19"/>
      <c r="U40" s="19"/>
      <c r="X40">
        <v>0.68</v>
      </c>
      <c r="Y40">
        <v>0.68718427100000001</v>
      </c>
      <c r="Z40">
        <v>0.70543700499999995</v>
      </c>
      <c r="AA40">
        <v>3.5161421999999998E-2</v>
      </c>
      <c r="AB40">
        <v>0.79014431299999999</v>
      </c>
      <c r="AC40">
        <v>82.315730000000002</v>
      </c>
    </row>
    <row r="41" spans="1:36" s="7" customFormat="1" ht="15.75" thickBot="1" x14ac:dyDescent="0.3">
      <c r="A41" s="6">
        <f t="shared" si="1"/>
        <v>18</v>
      </c>
      <c r="B41" s="6" t="str">
        <f t="shared" ref="B41:G41" si="17">B20</f>
        <v>NEX_CAT_240_H_145_D</v>
      </c>
      <c r="C41" s="6">
        <v>1.32</v>
      </c>
      <c r="D41" s="7">
        <f t="shared" si="17"/>
        <v>145</v>
      </c>
      <c r="E41" s="7">
        <f t="shared" si="17"/>
        <v>3.2</v>
      </c>
      <c r="F41" s="8">
        <f t="shared" si="17"/>
        <v>28.22</v>
      </c>
      <c r="G41" s="33">
        <f t="shared" si="17"/>
        <v>44496</v>
      </c>
      <c r="H41" s="10">
        <v>0.68</v>
      </c>
      <c r="I41" s="7">
        <v>0.81</v>
      </c>
      <c r="J41" s="7">
        <v>1.94</v>
      </c>
      <c r="K41" s="7">
        <v>2.5999999999999999E-2</v>
      </c>
      <c r="L41" s="7">
        <v>0.59</v>
      </c>
      <c r="M41" s="34">
        <v>35.979999999999997</v>
      </c>
      <c r="N41" s="12"/>
      <c r="O41" s="12"/>
      <c r="P41" s="12"/>
      <c r="Q41" s="12"/>
      <c r="R41" s="12"/>
      <c r="S41" s="12"/>
      <c r="T41" s="12"/>
      <c r="U41" s="12"/>
      <c r="V41" s="6"/>
      <c r="W41" s="8"/>
      <c r="X41" s="7">
        <v>0.96</v>
      </c>
      <c r="Y41" s="7">
        <v>0.47140452100000002</v>
      </c>
      <c r="Z41" s="7">
        <v>1.083366268</v>
      </c>
      <c r="AA41" s="7">
        <v>3.7948034999999998E-2</v>
      </c>
      <c r="AB41" s="7">
        <v>0.85276483800000002</v>
      </c>
      <c r="AC41" s="7">
        <v>122.22136999999999</v>
      </c>
      <c r="AJ41" s="8"/>
    </row>
  </sheetData>
  <mergeCells count="14">
    <mergeCell ref="N22:U22"/>
    <mergeCell ref="V22:W22"/>
    <mergeCell ref="X22:AC22"/>
    <mergeCell ref="AD22:AJ22"/>
    <mergeCell ref="H1:M1"/>
    <mergeCell ref="N1:U1"/>
    <mergeCell ref="V1:W1"/>
    <mergeCell ref="X1:AC1"/>
    <mergeCell ref="AD1:AI1"/>
    <mergeCell ref="G1:G2"/>
    <mergeCell ref="G22:G23"/>
    <mergeCell ref="C1:F1"/>
    <mergeCell ref="C22:F22"/>
    <mergeCell ref="H22:M2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41"/>
  <sheetViews>
    <sheetView zoomScale="60" zoomScaleNormal="60" workbookViewId="0">
      <selection activeCell="B23" sqref="B23"/>
    </sheetView>
  </sheetViews>
  <sheetFormatPr defaultColWidth="8.85546875" defaultRowHeight="15" x14ac:dyDescent="0.25"/>
  <cols>
    <col min="1" max="1" width="4.85546875" customWidth="1"/>
    <col min="2" max="2" width="23.7109375" customWidth="1"/>
    <col min="3" max="3" width="31.28515625" style="3" customWidth="1"/>
    <col min="4" max="4" width="12.42578125" style="2" customWidth="1"/>
    <col min="6" max="6" width="11.5703125" style="3" customWidth="1"/>
    <col min="7" max="9" width="13.140625" customWidth="1"/>
    <col min="10" max="10" width="6.85546875" customWidth="1"/>
    <col min="11" max="11" width="16.85546875" customWidth="1"/>
    <col min="12" max="12" width="10.85546875" customWidth="1"/>
    <col min="13" max="13" width="11.7109375" customWidth="1"/>
    <col min="14" max="14" width="14.42578125" customWidth="1"/>
    <col min="15" max="15" width="17.42578125" style="2" customWidth="1"/>
    <col min="16" max="16" width="12.85546875" customWidth="1"/>
    <col min="17" max="17" width="12.5703125" style="3" customWidth="1"/>
    <col min="18" max="18" width="9.140625"/>
    <col min="19" max="19" width="17.7109375" customWidth="1"/>
    <col min="22" max="22" width="15.42578125" customWidth="1"/>
    <col min="23" max="23" width="15.140625" style="2" customWidth="1"/>
    <col min="24" max="24" width="12" customWidth="1"/>
    <col min="25" max="25" width="11.42578125" style="3" bestFit="1" customWidth="1"/>
    <col min="26" max="26" width="9.140625"/>
    <col min="27" max="27" width="18.85546875" customWidth="1"/>
    <col min="30" max="30" width="14" customWidth="1"/>
    <col min="31" max="31" width="16.28515625" style="2" customWidth="1"/>
    <col min="33" max="33" width="9.140625" style="3" customWidth="1"/>
  </cols>
  <sheetData>
    <row r="1" spans="1:33" s="39" customFormat="1" ht="45.75" thickBot="1" x14ac:dyDescent="0.3">
      <c r="A1" s="23"/>
      <c r="B1" s="50" t="s">
        <v>0</v>
      </c>
      <c r="C1" s="57" t="s">
        <v>1</v>
      </c>
      <c r="D1" s="57"/>
      <c r="E1" s="57"/>
      <c r="F1" s="58"/>
      <c r="G1" s="24"/>
      <c r="H1" s="24"/>
      <c r="I1" s="24"/>
      <c r="J1" s="39">
        <v>1</v>
      </c>
      <c r="K1" s="61" t="s">
        <v>3</v>
      </c>
      <c r="L1" s="61"/>
      <c r="M1" s="61"/>
      <c r="N1" s="24" t="s">
        <v>52</v>
      </c>
      <c r="O1" s="64" t="s">
        <v>53</v>
      </c>
      <c r="P1" s="63"/>
      <c r="Q1" s="65"/>
      <c r="R1" s="39">
        <v>2</v>
      </c>
      <c r="S1" s="61" t="s">
        <v>3</v>
      </c>
      <c r="T1" s="61"/>
      <c r="U1" s="61"/>
      <c r="V1" s="24" t="s">
        <v>52</v>
      </c>
      <c r="W1" s="64" t="s">
        <v>53</v>
      </c>
      <c r="X1" s="63"/>
      <c r="Y1" s="65"/>
      <c r="Z1" s="39">
        <v>3</v>
      </c>
      <c r="AA1" s="61" t="s">
        <v>3</v>
      </c>
      <c r="AB1" s="61"/>
      <c r="AC1" s="61"/>
      <c r="AD1" s="24" t="s">
        <v>52</v>
      </c>
      <c r="AE1" s="64" t="s">
        <v>53</v>
      </c>
      <c r="AF1" s="63"/>
      <c r="AG1" s="65"/>
    </row>
    <row r="2" spans="1:33" s="30" customFormat="1" ht="63.75" customHeight="1" x14ac:dyDescent="0.25">
      <c r="A2" s="25" t="s">
        <v>7</v>
      </c>
      <c r="B2" s="13" t="s">
        <v>8</v>
      </c>
      <c r="C2" s="51" t="s">
        <v>9</v>
      </c>
      <c r="D2" s="1" t="s">
        <v>10</v>
      </c>
      <c r="E2" s="1" t="s">
        <v>11</v>
      </c>
      <c r="F2" s="52" t="s">
        <v>12</v>
      </c>
      <c r="G2" s="13" t="s">
        <v>2</v>
      </c>
      <c r="H2" s="13" t="s">
        <v>15</v>
      </c>
      <c r="I2" s="13" t="s">
        <v>54</v>
      </c>
      <c r="J2" s="13" t="s">
        <v>55</v>
      </c>
      <c r="K2" s="14" t="s">
        <v>56</v>
      </c>
      <c r="L2" s="13" t="s">
        <v>57</v>
      </c>
      <c r="M2" s="13" t="s">
        <v>58</v>
      </c>
      <c r="N2" s="13" t="s">
        <v>59</v>
      </c>
      <c r="O2" s="27" t="s">
        <v>56</v>
      </c>
      <c r="P2" s="13" t="s">
        <v>57</v>
      </c>
      <c r="Q2" s="26" t="s">
        <v>58</v>
      </c>
      <c r="R2" s="13" t="s">
        <v>55</v>
      </c>
      <c r="S2" s="14" t="s">
        <v>56</v>
      </c>
      <c r="T2" s="13" t="s">
        <v>57</v>
      </c>
      <c r="U2" s="13" t="s">
        <v>58</v>
      </c>
      <c r="V2" s="13" t="s">
        <v>59</v>
      </c>
      <c r="W2" s="27" t="s">
        <v>56</v>
      </c>
      <c r="X2" s="13" t="s">
        <v>57</v>
      </c>
      <c r="Y2" s="26" t="s">
        <v>58</v>
      </c>
      <c r="Z2" s="13" t="s">
        <v>55</v>
      </c>
      <c r="AA2" s="14" t="s">
        <v>56</v>
      </c>
      <c r="AB2" s="13" t="s">
        <v>57</v>
      </c>
      <c r="AC2" s="13" t="s">
        <v>58</v>
      </c>
      <c r="AD2" s="13" t="s">
        <v>59</v>
      </c>
      <c r="AE2" s="27" t="s">
        <v>56</v>
      </c>
      <c r="AF2" s="13" t="s">
        <v>57</v>
      </c>
      <c r="AG2" s="26" t="s">
        <v>58</v>
      </c>
    </row>
    <row r="3" spans="1:33" x14ac:dyDescent="0.25">
      <c r="A3" s="2">
        <v>1</v>
      </c>
      <c r="B3" t="s">
        <v>30</v>
      </c>
      <c r="C3" s="2">
        <v>122.48</v>
      </c>
      <c r="D3">
        <v>85</v>
      </c>
      <c r="E3">
        <v>2.7</v>
      </c>
      <c r="F3" s="3">
        <v>39.44</v>
      </c>
      <c r="G3" s="16">
        <v>44484</v>
      </c>
      <c r="H3" s="35">
        <v>120.54</v>
      </c>
      <c r="I3">
        <v>2</v>
      </c>
      <c r="J3">
        <v>1</v>
      </c>
      <c r="K3" s="17">
        <v>52.4</v>
      </c>
      <c r="L3" s="35">
        <v>2.300381679</v>
      </c>
      <c r="M3" s="35">
        <v>48.306029680000002</v>
      </c>
      <c r="N3">
        <v>475</v>
      </c>
      <c r="O3" s="45">
        <v>48.4</v>
      </c>
      <c r="P3" s="35">
        <v>2.490495868</v>
      </c>
      <c r="Q3" s="43">
        <v>44.033800720000002</v>
      </c>
      <c r="R3">
        <v>2</v>
      </c>
      <c r="S3" s="35">
        <v>48.4</v>
      </c>
      <c r="T3" s="35">
        <v>2.490495868</v>
      </c>
      <c r="U3" s="35">
        <v>44.033800720000002</v>
      </c>
      <c r="V3">
        <v>475</v>
      </c>
      <c r="W3" s="47">
        <v>45.066666669999996</v>
      </c>
      <c r="X3" s="37">
        <v>2.674704142</v>
      </c>
      <c r="Y3" s="48">
        <v>39.894288940000003</v>
      </c>
      <c r="Z3">
        <v>3</v>
      </c>
      <c r="AB3" s="11"/>
      <c r="AC3" s="11"/>
    </row>
    <row r="4" spans="1:33" x14ac:dyDescent="0.25">
      <c r="A4" s="2">
        <v>2</v>
      </c>
      <c r="B4" t="s">
        <v>33</v>
      </c>
      <c r="C4" s="2">
        <v>122.48</v>
      </c>
      <c r="D4">
        <v>85</v>
      </c>
      <c r="E4">
        <v>2.95</v>
      </c>
      <c r="F4" s="3">
        <v>33.83</v>
      </c>
      <c r="G4" s="16">
        <v>44484</v>
      </c>
      <c r="H4" s="35">
        <v>120.93</v>
      </c>
      <c r="I4">
        <v>1</v>
      </c>
      <c r="J4">
        <v>1</v>
      </c>
      <c r="K4" s="17">
        <v>51.6</v>
      </c>
      <c r="L4" s="35">
        <v>2.3436046510000001</v>
      </c>
      <c r="M4" s="35">
        <v>47.334726940000003</v>
      </c>
      <c r="N4">
        <v>462</v>
      </c>
      <c r="O4" s="45">
        <v>40.666666669999998</v>
      </c>
      <c r="P4" s="35">
        <v>2.973688525</v>
      </c>
      <c r="Q4" s="43">
        <v>33.175538770000003</v>
      </c>
      <c r="R4">
        <v>2</v>
      </c>
      <c r="S4" s="35"/>
      <c r="T4" s="35"/>
      <c r="U4" s="35"/>
      <c r="W4" s="47"/>
      <c r="X4" s="37"/>
      <c r="Y4" s="48"/>
      <c r="Z4">
        <v>3</v>
      </c>
      <c r="AB4" s="11"/>
      <c r="AC4" s="11"/>
    </row>
    <row r="5" spans="1:33" x14ac:dyDescent="0.25">
      <c r="A5" s="2">
        <v>3</v>
      </c>
      <c r="B5" t="s">
        <v>34</v>
      </c>
      <c r="C5" s="2">
        <v>122.48</v>
      </c>
      <c r="D5">
        <v>85</v>
      </c>
      <c r="E5">
        <v>3.2</v>
      </c>
      <c r="F5" s="3">
        <v>28.22</v>
      </c>
      <c r="G5" s="16">
        <v>44484</v>
      </c>
      <c r="H5" s="35">
        <v>120.54</v>
      </c>
      <c r="I5">
        <v>3</v>
      </c>
      <c r="J5">
        <v>1</v>
      </c>
      <c r="K5" s="17">
        <v>52.333333330000002</v>
      </c>
      <c r="L5" s="35">
        <v>2.303312102</v>
      </c>
      <c r="M5" s="35">
        <v>48.240177490000001</v>
      </c>
      <c r="N5">
        <v>458</v>
      </c>
      <c r="O5" s="45">
        <v>40.133333329999999</v>
      </c>
      <c r="P5" s="35">
        <v>3.0034883720000001</v>
      </c>
      <c r="Q5" s="43">
        <v>32.505879280000002</v>
      </c>
      <c r="R5">
        <v>2</v>
      </c>
      <c r="S5" s="35">
        <v>40.133333329999999</v>
      </c>
      <c r="T5" s="35">
        <v>3.0034883720000001</v>
      </c>
      <c r="U5" s="35">
        <v>32.505879280000002</v>
      </c>
      <c r="V5">
        <v>458</v>
      </c>
      <c r="W5" s="47">
        <v>38.6</v>
      </c>
      <c r="X5" s="37">
        <v>3.1227979270000001</v>
      </c>
      <c r="Y5" s="48">
        <v>29.824765679999999</v>
      </c>
      <c r="Z5">
        <v>3</v>
      </c>
      <c r="AA5">
        <v>38.6</v>
      </c>
      <c r="AB5" s="11">
        <v>3.1227979270000001</v>
      </c>
      <c r="AC5" s="11">
        <v>29.824765679999999</v>
      </c>
      <c r="AD5">
        <v>458</v>
      </c>
      <c r="AE5" s="47">
        <v>37.625</v>
      </c>
      <c r="AF5" s="36">
        <v>3.2037209299999998</v>
      </c>
      <c r="AG5" s="49">
        <v>28.006271229999999</v>
      </c>
    </row>
    <row r="6" spans="1:33" x14ac:dyDescent="0.25">
      <c r="A6" s="2">
        <v>4</v>
      </c>
      <c r="B6" t="s">
        <v>35</v>
      </c>
      <c r="C6" s="2">
        <v>122.48</v>
      </c>
      <c r="D6">
        <v>120</v>
      </c>
      <c r="E6">
        <v>2.7</v>
      </c>
      <c r="F6" s="3">
        <v>39.44</v>
      </c>
      <c r="G6" s="16">
        <v>44487</v>
      </c>
      <c r="H6" s="35">
        <v>123.25579999999999</v>
      </c>
      <c r="I6">
        <v>1</v>
      </c>
      <c r="J6">
        <v>1</v>
      </c>
      <c r="K6" s="11">
        <v>51.6</v>
      </c>
      <c r="L6" s="35">
        <v>2.3885658909999998</v>
      </c>
      <c r="M6" s="35">
        <v>46.32436199</v>
      </c>
      <c r="N6">
        <v>400</v>
      </c>
      <c r="O6" s="45">
        <v>45</v>
      </c>
      <c r="P6" s="35">
        <v>2.738888889</v>
      </c>
      <c r="Q6" s="43">
        <v>38.451935079999998</v>
      </c>
      <c r="R6">
        <v>2</v>
      </c>
      <c r="S6" s="35"/>
      <c r="T6" s="35"/>
      <c r="U6" s="35"/>
      <c r="W6" s="47"/>
      <c r="X6" s="37"/>
      <c r="Y6" s="48"/>
      <c r="Z6">
        <v>3</v>
      </c>
      <c r="AB6" s="11"/>
      <c r="AC6" s="11"/>
      <c r="AE6" s="47"/>
      <c r="AF6" s="36"/>
      <c r="AG6" s="49"/>
    </row>
    <row r="7" spans="1:33" x14ac:dyDescent="0.25">
      <c r="A7" s="2">
        <v>5</v>
      </c>
      <c r="B7" t="s">
        <v>36</v>
      </c>
      <c r="C7" s="2">
        <v>122.48</v>
      </c>
      <c r="D7">
        <v>120</v>
      </c>
      <c r="E7">
        <v>2.95</v>
      </c>
      <c r="F7" s="3">
        <v>33.83</v>
      </c>
      <c r="G7" s="16">
        <v>44487</v>
      </c>
      <c r="H7" s="35">
        <v>124.379845</v>
      </c>
      <c r="I7">
        <v>1</v>
      </c>
      <c r="J7">
        <v>1</v>
      </c>
      <c r="K7" s="17">
        <v>51.066666669999996</v>
      </c>
      <c r="L7" s="35">
        <v>2.4354438639999998</v>
      </c>
      <c r="M7" s="35">
        <v>45.270924399999998</v>
      </c>
      <c r="N7">
        <v>395</v>
      </c>
      <c r="O7" s="45">
        <v>41.133333329999999</v>
      </c>
      <c r="P7" s="35">
        <v>3.0235818480000001</v>
      </c>
      <c r="Q7" s="43">
        <v>32.054340500000002</v>
      </c>
      <c r="R7">
        <v>2</v>
      </c>
      <c r="S7" s="35"/>
      <c r="T7" s="35"/>
      <c r="U7" s="35"/>
      <c r="W7" s="47"/>
      <c r="X7" s="37"/>
      <c r="Y7" s="48"/>
      <c r="Z7">
        <v>3</v>
      </c>
      <c r="AB7" s="11"/>
      <c r="AC7" s="11"/>
      <c r="AE7" s="47"/>
      <c r="AF7" s="36"/>
      <c r="AG7" s="49"/>
    </row>
    <row r="8" spans="1:33" x14ac:dyDescent="0.25">
      <c r="A8" s="2">
        <v>6</v>
      </c>
      <c r="B8" t="s">
        <v>37</v>
      </c>
      <c r="C8" s="2">
        <v>122.48</v>
      </c>
      <c r="D8">
        <v>120</v>
      </c>
      <c r="E8">
        <v>3.2</v>
      </c>
      <c r="F8" s="3">
        <v>28.22</v>
      </c>
      <c r="G8" s="16">
        <v>44487</v>
      </c>
      <c r="H8" s="35">
        <v>122.96510000000001</v>
      </c>
      <c r="I8">
        <v>2</v>
      </c>
      <c r="J8">
        <v>1</v>
      </c>
      <c r="K8" s="38">
        <v>51.866666670000001</v>
      </c>
      <c r="L8" s="35">
        <v>2.3706940869999999</v>
      </c>
      <c r="M8" s="35">
        <v>46.725975560000002</v>
      </c>
      <c r="N8">
        <v>390</v>
      </c>
      <c r="O8" s="45">
        <v>39.266666669999999</v>
      </c>
      <c r="P8" s="35">
        <v>3.1314091679999998</v>
      </c>
      <c r="Q8" s="43">
        <v>29.631254649999999</v>
      </c>
      <c r="R8">
        <v>2</v>
      </c>
      <c r="S8" s="35">
        <v>39.266666669999999</v>
      </c>
      <c r="T8" s="35">
        <v>3.1314091679999998</v>
      </c>
      <c r="U8" s="35">
        <v>29.631254649999999</v>
      </c>
      <c r="V8">
        <v>390</v>
      </c>
      <c r="W8" s="47">
        <v>38</v>
      </c>
      <c r="X8" s="37">
        <v>3.2357894740000002</v>
      </c>
      <c r="Y8" s="48">
        <v>27.285629799999999</v>
      </c>
      <c r="Z8">
        <v>3</v>
      </c>
      <c r="AB8" s="11"/>
      <c r="AC8" s="11"/>
      <c r="AE8" s="47"/>
      <c r="AF8" s="36"/>
      <c r="AG8" s="49"/>
    </row>
    <row r="9" spans="1:33" x14ac:dyDescent="0.25">
      <c r="A9" s="2">
        <v>7</v>
      </c>
      <c r="B9" t="s">
        <v>38</v>
      </c>
      <c r="C9" s="2">
        <v>122.48</v>
      </c>
      <c r="D9">
        <v>145</v>
      </c>
      <c r="E9">
        <v>2.7</v>
      </c>
      <c r="F9" s="3">
        <v>39.44</v>
      </c>
      <c r="G9" s="16">
        <v>44496</v>
      </c>
      <c r="H9" s="35">
        <v>123.68</v>
      </c>
      <c r="I9">
        <v>1</v>
      </c>
      <c r="J9">
        <v>1</v>
      </c>
      <c r="K9" s="17">
        <v>53.2</v>
      </c>
      <c r="L9" s="35">
        <v>2.3248120299999999</v>
      </c>
      <c r="M9" s="35">
        <v>47.757033030000002</v>
      </c>
      <c r="N9">
        <v>460</v>
      </c>
      <c r="O9" s="45">
        <v>45.933333330000004</v>
      </c>
      <c r="P9" s="35">
        <v>2.6925979679999998</v>
      </c>
      <c r="Q9" s="43">
        <v>39.492180490000003</v>
      </c>
      <c r="R9">
        <v>2</v>
      </c>
      <c r="S9" s="35"/>
      <c r="T9" s="35"/>
      <c r="U9" s="35"/>
      <c r="W9" s="47"/>
      <c r="X9" s="37"/>
      <c r="Y9" s="48"/>
      <c r="Z9">
        <v>3</v>
      </c>
      <c r="AB9" s="11"/>
      <c r="AC9" s="11"/>
      <c r="AE9" s="47"/>
      <c r="AF9" s="36"/>
      <c r="AG9" s="49"/>
    </row>
    <row r="10" spans="1:33" x14ac:dyDescent="0.25">
      <c r="A10" s="2">
        <v>8</v>
      </c>
      <c r="B10" t="s">
        <v>39</v>
      </c>
      <c r="C10" s="2">
        <v>122.48</v>
      </c>
      <c r="D10">
        <v>145</v>
      </c>
      <c r="E10">
        <v>2.95</v>
      </c>
      <c r="F10" s="3">
        <v>33.83</v>
      </c>
      <c r="G10" s="16">
        <v>44496</v>
      </c>
      <c r="H10" s="35">
        <v>122.19</v>
      </c>
      <c r="I10">
        <v>1</v>
      </c>
      <c r="J10">
        <v>1</v>
      </c>
      <c r="K10" s="17">
        <v>50.466666670000002</v>
      </c>
      <c r="L10" s="35">
        <v>2.4212021140000002</v>
      </c>
      <c r="M10" s="35">
        <v>45.590963739999999</v>
      </c>
      <c r="N10">
        <v>450</v>
      </c>
      <c r="O10" s="45">
        <v>40.266666669999999</v>
      </c>
      <c r="P10" s="35">
        <v>3.0345198679999998</v>
      </c>
      <c r="Q10" s="43">
        <v>31.808542299999999</v>
      </c>
      <c r="R10">
        <v>2</v>
      </c>
      <c r="S10" s="35"/>
      <c r="T10" s="35"/>
      <c r="U10" s="35"/>
      <c r="W10" s="47"/>
      <c r="X10" s="37"/>
      <c r="Y10" s="48"/>
      <c r="Z10">
        <v>3</v>
      </c>
      <c r="AB10" s="11"/>
      <c r="AC10" s="11"/>
      <c r="AE10" s="47"/>
      <c r="AF10" s="36"/>
      <c r="AG10" s="49"/>
    </row>
    <row r="11" spans="1:33" x14ac:dyDescent="0.25">
      <c r="A11" s="2">
        <v>9</v>
      </c>
      <c r="B11" t="s">
        <v>40</v>
      </c>
      <c r="C11" s="2">
        <v>122.48</v>
      </c>
      <c r="D11">
        <v>145</v>
      </c>
      <c r="E11">
        <v>3.2</v>
      </c>
      <c r="F11" s="3">
        <v>28.22</v>
      </c>
      <c r="G11" s="16">
        <v>44496</v>
      </c>
      <c r="H11" s="35">
        <v>123.91</v>
      </c>
      <c r="I11">
        <v>1</v>
      </c>
      <c r="J11">
        <v>1</v>
      </c>
      <c r="K11" s="17">
        <v>52.533333329999998</v>
      </c>
      <c r="L11" s="35">
        <v>2.3586928930000002</v>
      </c>
      <c r="M11" s="35">
        <v>46.995665320000001</v>
      </c>
      <c r="N11">
        <v>446</v>
      </c>
      <c r="O11" s="45">
        <v>39.533333329999998</v>
      </c>
      <c r="P11" s="35">
        <v>3.1343170319999998</v>
      </c>
      <c r="Q11" s="43">
        <v>29.565909390000002</v>
      </c>
      <c r="R11">
        <v>2</v>
      </c>
      <c r="S11" s="35"/>
      <c r="T11" s="35"/>
      <c r="U11" s="35"/>
      <c r="W11" s="47"/>
      <c r="X11" s="37"/>
      <c r="Y11" s="48"/>
      <c r="Z11">
        <v>3</v>
      </c>
      <c r="AB11" s="11"/>
      <c r="AC11" s="11"/>
      <c r="AE11" s="47"/>
      <c r="AF11" s="36"/>
      <c r="AG11" s="49"/>
    </row>
    <row r="12" spans="1:33" x14ac:dyDescent="0.25">
      <c r="A12" s="2">
        <v>10</v>
      </c>
      <c r="B12" t="s">
        <v>41</v>
      </c>
      <c r="C12" s="2">
        <v>182.73</v>
      </c>
      <c r="D12">
        <v>85</v>
      </c>
      <c r="E12">
        <v>2.7</v>
      </c>
      <c r="F12" s="3">
        <v>39.44</v>
      </c>
      <c r="G12" s="16">
        <v>44484</v>
      </c>
      <c r="H12" s="35">
        <v>181.49</v>
      </c>
      <c r="I12">
        <v>1</v>
      </c>
      <c r="J12">
        <v>1</v>
      </c>
      <c r="K12" s="20">
        <v>74.2</v>
      </c>
      <c r="L12" s="35">
        <v>2.4459568730000001</v>
      </c>
      <c r="M12" s="35">
        <v>45.034677000000002</v>
      </c>
      <c r="N12">
        <v>495</v>
      </c>
      <c r="O12" s="45">
        <v>68</v>
      </c>
      <c r="P12" s="35">
        <v>2.6689705880000001</v>
      </c>
      <c r="Q12" s="43">
        <v>40.023132850000003</v>
      </c>
      <c r="R12">
        <v>2</v>
      </c>
      <c r="S12" s="35"/>
      <c r="T12" s="35"/>
      <c r="U12" s="35"/>
      <c r="W12" s="47"/>
      <c r="X12" s="37"/>
      <c r="Y12" s="48"/>
      <c r="Z12">
        <v>3</v>
      </c>
      <c r="AB12" s="11"/>
      <c r="AC12" s="11"/>
      <c r="AE12" s="47"/>
      <c r="AF12" s="36"/>
      <c r="AG12" s="49"/>
    </row>
    <row r="13" spans="1:33" x14ac:dyDescent="0.25">
      <c r="A13" s="2">
        <v>11</v>
      </c>
      <c r="B13" t="s">
        <v>42</v>
      </c>
      <c r="C13" s="2">
        <v>182.73</v>
      </c>
      <c r="D13">
        <v>85</v>
      </c>
      <c r="E13">
        <v>2.95</v>
      </c>
      <c r="F13" s="3">
        <v>33.83</v>
      </c>
      <c r="G13" s="16">
        <v>44484</v>
      </c>
      <c r="H13" s="35">
        <v>181.2</v>
      </c>
      <c r="I13">
        <v>1</v>
      </c>
      <c r="J13">
        <v>1</v>
      </c>
      <c r="K13" s="20">
        <v>73.666666669999998</v>
      </c>
      <c r="L13" s="35">
        <v>2.4597285069999999</v>
      </c>
      <c r="M13" s="35">
        <v>44.725202090000003</v>
      </c>
      <c r="N13">
        <v>476</v>
      </c>
      <c r="O13" s="45">
        <v>61.133333329999999</v>
      </c>
      <c r="P13" s="35">
        <v>2.964013086</v>
      </c>
      <c r="Q13" s="43">
        <v>33.392964360000001</v>
      </c>
      <c r="R13">
        <v>2</v>
      </c>
      <c r="S13" s="35"/>
      <c r="T13" s="35"/>
      <c r="U13" s="35"/>
      <c r="W13" s="47"/>
      <c r="X13" s="37"/>
      <c r="Y13" s="48"/>
      <c r="Z13">
        <v>3</v>
      </c>
      <c r="AB13" s="11"/>
      <c r="AC13" s="11"/>
      <c r="AE13" s="47"/>
      <c r="AF13" s="36"/>
      <c r="AG13" s="49"/>
    </row>
    <row r="14" spans="1:33" x14ac:dyDescent="0.25">
      <c r="A14" s="2">
        <v>12</v>
      </c>
      <c r="B14" t="s">
        <v>43</v>
      </c>
      <c r="C14" s="2">
        <v>182.73</v>
      </c>
      <c r="D14">
        <v>85</v>
      </c>
      <c r="E14">
        <v>3.2</v>
      </c>
      <c r="F14" s="3">
        <v>28.22</v>
      </c>
      <c r="G14" s="16">
        <v>44484</v>
      </c>
      <c r="H14" s="35">
        <v>180.57</v>
      </c>
      <c r="I14">
        <v>2</v>
      </c>
      <c r="J14">
        <v>1</v>
      </c>
      <c r="K14" s="20">
        <v>73.133333329999999</v>
      </c>
      <c r="L14" s="35">
        <v>2.4690519599999998</v>
      </c>
      <c r="M14" s="35">
        <v>44.515686289999998</v>
      </c>
      <c r="N14">
        <v>466</v>
      </c>
      <c r="O14" s="45">
        <v>57.785714290000001</v>
      </c>
      <c r="P14" s="35">
        <v>3.124820766</v>
      </c>
      <c r="Q14" s="43">
        <v>29.779308619999998</v>
      </c>
      <c r="R14">
        <v>2</v>
      </c>
      <c r="S14" s="35">
        <v>57.785714290000001</v>
      </c>
      <c r="T14" s="35">
        <v>3.124820766</v>
      </c>
      <c r="U14" s="35">
        <v>29.779308619999998</v>
      </c>
      <c r="V14">
        <v>466</v>
      </c>
      <c r="W14" s="47">
        <v>56.333333330000002</v>
      </c>
      <c r="X14" s="37">
        <v>3.2053846149999998</v>
      </c>
      <c r="Y14" s="48">
        <v>27.968885050000001</v>
      </c>
      <c r="Z14">
        <v>3</v>
      </c>
      <c r="AB14" s="11"/>
      <c r="AC14" s="11"/>
      <c r="AE14" s="47"/>
      <c r="AF14" s="36"/>
      <c r="AG14" s="49"/>
    </row>
    <row r="15" spans="1:33" x14ac:dyDescent="0.25">
      <c r="A15" s="2">
        <v>13</v>
      </c>
      <c r="B15" t="s">
        <v>44</v>
      </c>
      <c r="C15" s="2">
        <v>182.73</v>
      </c>
      <c r="D15">
        <v>120</v>
      </c>
      <c r="E15">
        <v>2.7</v>
      </c>
      <c r="F15" s="3">
        <v>39.44</v>
      </c>
      <c r="G15" s="16">
        <v>44487</v>
      </c>
      <c r="H15" s="35">
        <v>183.52713180000001</v>
      </c>
      <c r="I15">
        <v>2</v>
      </c>
      <c r="J15">
        <v>1</v>
      </c>
      <c r="K15" s="20">
        <v>74.400000000000006</v>
      </c>
      <c r="L15" s="35">
        <v>2.4663978489999998</v>
      </c>
      <c r="M15" s="35">
        <v>44.575329230000001</v>
      </c>
      <c r="N15">
        <v>420</v>
      </c>
      <c r="O15" s="45">
        <v>69</v>
      </c>
      <c r="P15" s="35">
        <v>2.6594202899999999</v>
      </c>
      <c r="Q15" s="43">
        <v>40.237746299999998</v>
      </c>
      <c r="R15">
        <v>2</v>
      </c>
      <c r="S15" s="35">
        <v>69</v>
      </c>
      <c r="T15" s="35">
        <v>2.6594202899999999</v>
      </c>
      <c r="U15" s="35">
        <v>40.237746299999998</v>
      </c>
      <c r="V15">
        <v>420</v>
      </c>
      <c r="W15" s="47">
        <v>67.666666669999998</v>
      </c>
      <c r="X15" s="37">
        <v>2.7118226600000002</v>
      </c>
      <c r="Y15" s="48">
        <v>39.06016494</v>
      </c>
      <c r="Z15">
        <v>3</v>
      </c>
      <c r="AB15" s="11"/>
      <c r="AC15" s="11"/>
      <c r="AE15" s="47"/>
      <c r="AF15" s="36"/>
      <c r="AG15" s="49"/>
    </row>
    <row r="16" spans="1:33" x14ac:dyDescent="0.25">
      <c r="A16" s="2">
        <v>14</v>
      </c>
      <c r="B16" t="s">
        <v>45</v>
      </c>
      <c r="C16" s="2">
        <v>182.73</v>
      </c>
      <c r="D16">
        <v>120</v>
      </c>
      <c r="E16">
        <v>2.95</v>
      </c>
      <c r="F16" s="3">
        <v>33.83</v>
      </c>
      <c r="G16" s="16">
        <v>44487</v>
      </c>
      <c r="H16" s="35">
        <v>184.30232559999999</v>
      </c>
      <c r="I16">
        <v>2</v>
      </c>
      <c r="J16">
        <v>1</v>
      </c>
      <c r="K16" s="20">
        <v>74.400000000000006</v>
      </c>
      <c r="L16" s="35">
        <v>2.4771505380000001</v>
      </c>
      <c r="M16" s="35">
        <v>44.333695779999999</v>
      </c>
      <c r="N16">
        <v>410</v>
      </c>
      <c r="O16" s="45">
        <v>63.133333329999999</v>
      </c>
      <c r="P16" s="35">
        <v>2.9192185849999999</v>
      </c>
      <c r="Q16" s="43">
        <v>34.399582359999997</v>
      </c>
      <c r="R16">
        <v>2</v>
      </c>
      <c r="S16" s="35">
        <v>63.133333329999999</v>
      </c>
      <c r="T16" s="35">
        <v>2.9192185849999999</v>
      </c>
      <c r="U16" s="35">
        <v>34.399582359999997</v>
      </c>
      <c r="V16">
        <v>410</v>
      </c>
      <c r="W16" s="47">
        <v>61.8</v>
      </c>
      <c r="X16" s="37">
        <v>2.982200647</v>
      </c>
      <c r="Y16" s="48">
        <v>32.98425512</v>
      </c>
      <c r="Z16">
        <v>3</v>
      </c>
      <c r="AB16" s="11"/>
      <c r="AC16" s="11"/>
      <c r="AE16" s="47"/>
      <c r="AF16" s="36"/>
      <c r="AG16" s="49"/>
    </row>
    <row r="17" spans="1:33" x14ac:dyDescent="0.25">
      <c r="A17" s="2">
        <v>15</v>
      </c>
      <c r="B17" t="s">
        <v>46</v>
      </c>
      <c r="C17" s="2">
        <v>182.73</v>
      </c>
      <c r="D17">
        <v>120</v>
      </c>
      <c r="E17">
        <v>3.2</v>
      </c>
      <c r="F17" s="3">
        <v>28.22</v>
      </c>
      <c r="G17" s="16">
        <v>44487</v>
      </c>
      <c r="H17" s="35">
        <v>183.33333329999999</v>
      </c>
      <c r="I17">
        <v>2</v>
      </c>
      <c r="J17">
        <v>1</v>
      </c>
      <c r="K17" s="20">
        <v>73.400000000000006</v>
      </c>
      <c r="L17" s="35">
        <v>2.4972752040000001</v>
      </c>
      <c r="M17" s="35">
        <v>43.88145608</v>
      </c>
      <c r="N17">
        <v>400</v>
      </c>
      <c r="O17" s="45">
        <v>59.533333329999998</v>
      </c>
      <c r="P17" s="35">
        <v>3.0789473680000001</v>
      </c>
      <c r="Q17" s="43">
        <v>30.810171499999999</v>
      </c>
      <c r="R17">
        <v>2</v>
      </c>
      <c r="S17" s="35">
        <v>59.533333329999998</v>
      </c>
      <c r="T17" s="35">
        <v>3.0789473680000001</v>
      </c>
      <c r="U17" s="35">
        <v>30.810171499999999</v>
      </c>
      <c r="V17">
        <v>400</v>
      </c>
      <c r="W17" s="47">
        <v>57.666666669999998</v>
      </c>
      <c r="X17" s="37">
        <v>3.178612717</v>
      </c>
      <c r="Y17" s="48">
        <v>28.570500750000001</v>
      </c>
      <c r="Z17">
        <v>3</v>
      </c>
      <c r="AB17" s="11"/>
      <c r="AC17" s="11"/>
      <c r="AE17" s="47"/>
      <c r="AF17" s="36"/>
      <c r="AG17" s="49"/>
    </row>
    <row r="18" spans="1:33" x14ac:dyDescent="0.25">
      <c r="A18" s="2">
        <v>16</v>
      </c>
      <c r="B18" t="s">
        <v>47</v>
      </c>
      <c r="C18" s="2">
        <v>182.73</v>
      </c>
      <c r="D18">
        <v>145</v>
      </c>
      <c r="E18">
        <v>2.7</v>
      </c>
      <c r="F18" s="3">
        <v>39.44</v>
      </c>
      <c r="G18" s="16">
        <v>44496</v>
      </c>
      <c r="H18" s="35">
        <v>184.06</v>
      </c>
      <c r="I18">
        <v>1</v>
      </c>
      <c r="J18">
        <v>1</v>
      </c>
      <c r="K18" s="20">
        <v>73.666666669999998</v>
      </c>
      <c r="L18" s="35">
        <v>2.4977375570000002</v>
      </c>
      <c r="M18" s="35">
        <v>43.871066140000003</v>
      </c>
      <c r="N18">
        <v>480</v>
      </c>
      <c r="O18" s="45">
        <v>68.400000000000006</v>
      </c>
      <c r="P18" s="35">
        <v>2.6900584799999998</v>
      </c>
      <c r="Q18" s="43">
        <v>39.549247649999998</v>
      </c>
      <c r="R18">
        <v>2</v>
      </c>
      <c r="S18" s="35"/>
      <c r="T18" s="35"/>
      <c r="U18" s="35"/>
      <c r="W18" s="47"/>
      <c r="X18" s="37"/>
      <c r="Y18" s="48"/>
      <c r="Z18">
        <v>3</v>
      </c>
      <c r="AB18" s="11"/>
      <c r="AC18" s="11"/>
      <c r="AE18" s="47"/>
      <c r="AF18" s="36"/>
      <c r="AG18" s="49"/>
    </row>
    <row r="19" spans="1:33" x14ac:dyDescent="0.25">
      <c r="A19" s="2">
        <v>17</v>
      </c>
      <c r="B19" t="s">
        <v>48</v>
      </c>
      <c r="C19" s="2">
        <v>182.73</v>
      </c>
      <c r="D19">
        <v>145</v>
      </c>
      <c r="E19">
        <v>2.95</v>
      </c>
      <c r="F19" s="3">
        <v>33.83</v>
      </c>
      <c r="G19" s="16">
        <v>44496</v>
      </c>
      <c r="H19" s="35">
        <v>183.1</v>
      </c>
      <c r="I19">
        <v>3</v>
      </c>
      <c r="J19">
        <v>1</v>
      </c>
      <c r="K19" s="20">
        <v>74.733333329999994</v>
      </c>
      <c r="L19" s="35">
        <v>2.4500446029999998</v>
      </c>
      <c r="M19" s="35">
        <v>44.942817910000002</v>
      </c>
      <c r="N19">
        <v>473</v>
      </c>
      <c r="O19" s="45">
        <v>64.733333329999994</v>
      </c>
      <c r="P19" s="35">
        <v>2.8285272909999999</v>
      </c>
      <c r="Q19" s="43">
        <v>36.437588959999999</v>
      </c>
      <c r="R19">
        <v>2</v>
      </c>
      <c r="S19" s="35">
        <v>64.733333329999994</v>
      </c>
      <c r="T19" s="35">
        <v>2.8285272909999999</v>
      </c>
      <c r="U19" s="35">
        <v>36.437588959999999</v>
      </c>
      <c r="V19">
        <v>473</v>
      </c>
      <c r="W19" s="47">
        <v>62.866666670000001</v>
      </c>
      <c r="X19" s="37">
        <v>2.912513256</v>
      </c>
      <c r="Y19" s="48">
        <v>34.550263919999999</v>
      </c>
      <c r="Z19">
        <v>3</v>
      </c>
      <c r="AA19">
        <v>62.866666670000001</v>
      </c>
      <c r="AB19" s="11">
        <v>2.912513256</v>
      </c>
      <c r="AC19" s="11">
        <v>34.550263919999999</v>
      </c>
      <c r="AD19">
        <v>473</v>
      </c>
      <c r="AE19" s="47">
        <v>62.4</v>
      </c>
      <c r="AF19" s="36">
        <v>2.9342948720000002</v>
      </c>
      <c r="AG19" s="49">
        <v>34.060789399999997</v>
      </c>
    </row>
    <row r="20" spans="1:33" x14ac:dyDescent="0.25">
      <c r="A20" s="2">
        <v>18</v>
      </c>
      <c r="B20" t="s">
        <v>49</v>
      </c>
      <c r="C20" s="2">
        <v>182.73</v>
      </c>
      <c r="D20">
        <v>145</v>
      </c>
      <c r="E20">
        <v>3.2</v>
      </c>
      <c r="F20" s="3">
        <v>28.22</v>
      </c>
      <c r="G20" s="16">
        <v>44496</v>
      </c>
      <c r="H20" s="35">
        <v>183.04</v>
      </c>
      <c r="I20">
        <v>2</v>
      </c>
      <c r="J20">
        <v>1</v>
      </c>
      <c r="K20" s="20">
        <v>74.266666670000006</v>
      </c>
      <c r="L20" s="35">
        <v>2.4646319569999999</v>
      </c>
      <c r="M20" s="35">
        <v>44.615012200000002</v>
      </c>
      <c r="N20">
        <v>460</v>
      </c>
      <c r="O20" s="45">
        <v>58.533333329999998</v>
      </c>
      <c r="P20" s="35">
        <v>3.1271070619999999</v>
      </c>
      <c r="Q20" s="43">
        <v>29.7279312</v>
      </c>
      <c r="R20">
        <v>2</v>
      </c>
      <c r="S20" s="35">
        <v>58.533333329999998</v>
      </c>
      <c r="T20" s="35">
        <v>3.1271070619999999</v>
      </c>
      <c r="U20" s="35">
        <v>29.7279312</v>
      </c>
      <c r="V20">
        <v>460</v>
      </c>
      <c r="W20" s="47">
        <v>56.6</v>
      </c>
      <c r="X20" s="37">
        <v>3.233922261</v>
      </c>
      <c r="Y20" s="48">
        <v>27.327589629999999</v>
      </c>
      <c r="Z20">
        <v>3</v>
      </c>
      <c r="AB20" s="11"/>
      <c r="AC20" s="11"/>
    </row>
    <row r="21" spans="1:33" ht="15.75" thickBot="1" x14ac:dyDescent="0.3">
      <c r="A21" s="2"/>
      <c r="C21" s="6"/>
      <c r="D21" s="7"/>
      <c r="E21" s="7"/>
      <c r="F21" s="8"/>
      <c r="K21" s="20"/>
    </row>
    <row r="22" spans="1:33" s="32" customFormat="1" ht="30.75" thickBot="1" x14ac:dyDescent="0.3">
      <c r="A22" s="23"/>
      <c r="B22" s="50" t="s">
        <v>50</v>
      </c>
      <c r="C22" s="66" t="s">
        <v>1</v>
      </c>
      <c r="D22" s="66"/>
      <c r="E22" s="66"/>
      <c r="F22" s="67"/>
      <c r="G22" s="24"/>
      <c r="H22" s="24"/>
      <c r="I22" s="24"/>
      <c r="J22" s="39"/>
      <c r="K22" s="40" t="s">
        <v>3</v>
      </c>
      <c r="O22" s="31"/>
      <c r="Q22" s="44"/>
      <c r="W22" s="31"/>
      <c r="Y22" s="44"/>
      <c r="AE22" s="31"/>
      <c r="AG22" s="44"/>
    </row>
    <row r="23" spans="1:33" ht="60" x14ac:dyDescent="0.25">
      <c r="A23" s="25"/>
      <c r="B23" s="13" t="s">
        <v>60</v>
      </c>
      <c r="C23" s="51" t="str">
        <f>C2</f>
        <v>Target coating weight (GSM)</v>
      </c>
      <c r="D23" s="1" t="s">
        <v>10</v>
      </c>
      <c r="E23" s="1" t="s">
        <v>11</v>
      </c>
      <c r="F23" s="52" t="s">
        <v>12</v>
      </c>
      <c r="G23" s="13" t="s">
        <v>2</v>
      </c>
      <c r="H23" s="13"/>
      <c r="I23" s="13"/>
      <c r="J23" s="30"/>
      <c r="K23" s="14" t="s">
        <v>13</v>
      </c>
    </row>
    <row r="24" spans="1:33" x14ac:dyDescent="0.25">
      <c r="A24" s="2">
        <f>A3</f>
        <v>1</v>
      </c>
      <c r="B24" t="str">
        <f>B3</f>
        <v>NEX_CAT_240_L_85_P</v>
      </c>
      <c r="C24" s="2">
        <v>1.5</v>
      </c>
      <c r="D24">
        <v>85</v>
      </c>
      <c r="E24">
        <v>2.7</v>
      </c>
      <c r="F24" s="3">
        <v>39.44</v>
      </c>
      <c r="G24" s="16">
        <f>G3</f>
        <v>44484</v>
      </c>
      <c r="H24" s="35">
        <v>0.33</v>
      </c>
      <c r="I24" s="16"/>
      <c r="J24" s="16"/>
      <c r="K24" s="20">
        <v>0.8</v>
      </c>
      <c r="O24" s="45">
        <v>1.1430952130000001</v>
      </c>
      <c r="S24" s="35">
        <v>1.1430952130000001</v>
      </c>
      <c r="W24" s="2">
        <v>0.67986926800000003</v>
      </c>
    </row>
    <row r="25" spans="1:33" x14ac:dyDescent="0.25">
      <c r="A25" s="2">
        <f t="shared" ref="A25:G40" si="0">A4</f>
        <v>2</v>
      </c>
      <c r="B25" t="str">
        <f>B4</f>
        <v>NEX_CAT_240_L_85_M</v>
      </c>
      <c r="C25" s="2">
        <v>1.5</v>
      </c>
      <c r="D25">
        <f>D4</f>
        <v>85</v>
      </c>
      <c r="E25">
        <f>E4</f>
        <v>2.95</v>
      </c>
      <c r="F25" s="3">
        <f>F4</f>
        <v>33.83</v>
      </c>
      <c r="G25" s="16">
        <f>G4</f>
        <v>44484</v>
      </c>
      <c r="H25" s="35">
        <v>2.0299999999999998</v>
      </c>
      <c r="I25" s="16"/>
      <c r="J25" s="16"/>
      <c r="K25" s="20">
        <v>1.08</v>
      </c>
      <c r="O25" s="45">
        <v>0.59628479400000001</v>
      </c>
      <c r="S25" s="35"/>
    </row>
    <row r="26" spans="1:33" x14ac:dyDescent="0.25">
      <c r="A26" s="2">
        <f t="shared" si="0"/>
        <v>3</v>
      </c>
      <c r="B26" t="str">
        <f t="shared" si="0"/>
        <v>NEX_CAT_240_L_85_D</v>
      </c>
      <c r="C26" s="2">
        <v>1.5</v>
      </c>
      <c r="D26">
        <f t="shared" si="0"/>
        <v>85</v>
      </c>
      <c r="E26">
        <f t="shared" si="0"/>
        <v>3.2</v>
      </c>
      <c r="F26" s="3">
        <f t="shared" si="0"/>
        <v>28.22</v>
      </c>
      <c r="G26" s="16">
        <f t="shared" si="0"/>
        <v>44484</v>
      </c>
      <c r="H26" s="35">
        <v>1.1100000000000001</v>
      </c>
      <c r="I26" s="16"/>
      <c r="J26" s="16"/>
      <c r="K26" s="20">
        <v>0.87</v>
      </c>
      <c r="O26" s="45">
        <v>0.88443327699999996</v>
      </c>
      <c r="S26" s="35">
        <v>0.88443327699999996</v>
      </c>
      <c r="W26" s="2">
        <v>0.489897949</v>
      </c>
      <c r="AA26">
        <v>0.489897949</v>
      </c>
      <c r="AE26" s="2">
        <v>0.59947894000000002</v>
      </c>
    </row>
    <row r="27" spans="1:33" x14ac:dyDescent="0.25">
      <c r="A27" s="2">
        <f t="shared" si="0"/>
        <v>4</v>
      </c>
      <c r="B27" t="str">
        <f t="shared" si="0"/>
        <v>NEX_CAT_240_L_120_P</v>
      </c>
      <c r="C27" s="2">
        <v>1.5</v>
      </c>
      <c r="D27">
        <f t="shared" si="0"/>
        <v>120</v>
      </c>
      <c r="E27">
        <f t="shared" si="0"/>
        <v>2.7</v>
      </c>
      <c r="F27" s="3">
        <f t="shared" si="0"/>
        <v>39.44</v>
      </c>
      <c r="G27" s="16">
        <f t="shared" si="0"/>
        <v>44487</v>
      </c>
      <c r="H27" s="35">
        <v>1.95</v>
      </c>
      <c r="I27" s="16"/>
      <c r="J27" s="16"/>
      <c r="K27" s="11">
        <v>0.49</v>
      </c>
      <c r="O27" s="45">
        <v>0.96609178299999998</v>
      </c>
      <c r="S27" s="35"/>
    </row>
    <row r="28" spans="1:33" x14ac:dyDescent="0.25">
      <c r="A28" s="2">
        <f t="shared" si="0"/>
        <v>5</v>
      </c>
      <c r="B28" t="str">
        <f t="shared" si="0"/>
        <v>NEX_CAT_240_L_120_M</v>
      </c>
      <c r="C28" s="2">
        <v>1.5</v>
      </c>
      <c r="D28">
        <f t="shared" si="0"/>
        <v>120</v>
      </c>
      <c r="E28">
        <f t="shared" si="0"/>
        <v>2.95</v>
      </c>
      <c r="F28" s="3">
        <f t="shared" si="0"/>
        <v>33.83</v>
      </c>
      <c r="G28" s="16">
        <f t="shared" si="0"/>
        <v>44487</v>
      </c>
      <c r="H28" s="35">
        <v>1.59</v>
      </c>
      <c r="I28" s="16"/>
      <c r="J28" s="16"/>
      <c r="K28" s="20">
        <v>0.98</v>
      </c>
      <c r="O28" s="45">
        <v>0.80553639799999999</v>
      </c>
      <c r="S28" s="35"/>
    </row>
    <row r="29" spans="1:33" x14ac:dyDescent="0.25">
      <c r="A29" s="2">
        <f t="shared" si="0"/>
        <v>6</v>
      </c>
      <c r="B29" t="str">
        <f t="shared" si="0"/>
        <v>NEX_CAT_240_L_120_D</v>
      </c>
      <c r="C29" s="2">
        <v>1.5</v>
      </c>
      <c r="D29">
        <f>D8</f>
        <v>120</v>
      </c>
      <c r="E29">
        <f t="shared" si="0"/>
        <v>3.2</v>
      </c>
      <c r="F29" s="3">
        <f t="shared" si="0"/>
        <v>28.22</v>
      </c>
      <c r="G29" s="16">
        <f t="shared" si="0"/>
        <v>44487</v>
      </c>
      <c r="H29" s="35">
        <v>1.94</v>
      </c>
      <c r="I29" s="16"/>
      <c r="J29" s="16"/>
      <c r="K29" s="11">
        <v>0.62</v>
      </c>
      <c r="O29" s="45">
        <v>0.92855921799999996</v>
      </c>
      <c r="S29" s="35">
        <v>0.92855921799999996</v>
      </c>
      <c r="W29" s="2">
        <v>0.51639777899999995</v>
      </c>
    </row>
    <row r="30" spans="1:33" x14ac:dyDescent="0.25">
      <c r="A30" s="2">
        <f t="shared" si="0"/>
        <v>7</v>
      </c>
      <c r="B30" t="str">
        <f t="shared" si="0"/>
        <v>NEX_CAT_240_L_145_P</v>
      </c>
      <c r="C30" s="2">
        <v>1.5</v>
      </c>
      <c r="D30">
        <f t="shared" si="0"/>
        <v>145</v>
      </c>
      <c r="E30">
        <f t="shared" si="0"/>
        <v>2.7</v>
      </c>
      <c r="F30" s="3">
        <f t="shared" si="0"/>
        <v>39.44</v>
      </c>
      <c r="G30" s="16">
        <f t="shared" si="0"/>
        <v>44496</v>
      </c>
      <c r="H30" s="35">
        <v>1.19</v>
      </c>
      <c r="I30" s="16"/>
      <c r="J30" s="16"/>
      <c r="K30" s="20">
        <v>0.75</v>
      </c>
      <c r="O30" s="45">
        <v>2.862788074</v>
      </c>
      <c r="S30" s="35"/>
    </row>
    <row r="31" spans="1:33" x14ac:dyDescent="0.25">
      <c r="A31" s="2">
        <f t="shared" si="0"/>
        <v>8</v>
      </c>
      <c r="B31" t="str">
        <f t="shared" si="0"/>
        <v>NEX_CAT_240_L_145_M</v>
      </c>
      <c r="C31" s="2">
        <v>1.5</v>
      </c>
      <c r="D31">
        <f t="shared" si="0"/>
        <v>145</v>
      </c>
      <c r="E31">
        <f t="shared" si="0"/>
        <v>2.95</v>
      </c>
      <c r="F31" s="3">
        <f t="shared" si="0"/>
        <v>33.83</v>
      </c>
      <c r="G31" s="16">
        <f t="shared" si="0"/>
        <v>44496</v>
      </c>
      <c r="H31" s="35">
        <v>2.16</v>
      </c>
      <c r="I31" s="16"/>
      <c r="J31" s="16"/>
      <c r="K31" s="20">
        <v>0.72</v>
      </c>
      <c r="O31" s="45">
        <v>0.92855921799999996</v>
      </c>
      <c r="S31" s="35"/>
    </row>
    <row r="32" spans="1:33" x14ac:dyDescent="0.25">
      <c r="A32" s="2">
        <f t="shared" si="0"/>
        <v>9</v>
      </c>
      <c r="B32" t="str">
        <f t="shared" si="0"/>
        <v>NEX_CAT_240_L_145_D</v>
      </c>
      <c r="C32" s="2">
        <v>1.5</v>
      </c>
      <c r="D32">
        <f t="shared" si="0"/>
        <v>145</v>
      </c>
      <c r="E32">
        <f t="shared" si="0"/>
        <v>3.2</v>
      </c>
      <c r="F32" s="3">
        <f t="shared" si="0"/>
        <v>28.22</v>
      </c>
      <c r="G32" s="16">
        <f t="shared" si="0"/>
        <v>44496</v>
      </c>
      <c r="H32" s="35">
        <v>1.44</v>
      </c>
      <c r="I32" s="16"/>
      <c r="J32" s="16"/>
      <c r="K32" s="20">
        <v>0.62</v>
      </c>
      <c r="O32" s="45">
        <v>0.618241233</v>
      </c>
      <c r="S32" s="35"/>
    </row>
    <row r="33" spans="1:33" x14ac:dyDescent="0.25">
      <c r="A33" s="2">
        <f t="shared" si="0"/>
        <v>10</v>
      </c>
      <c r="B33" t="str">
        <f t="shared" si="0"/>
        <v>NEX_CAT_240_H_85_P</v>
      </c>
      <c r="C33" s="2">
        <v>1.32</v>
      </c>
      <c r="D33">
        <f t="shared" si="0"/>
        <v>85</v>
      </c>
      <c r="E33">
        <f t="shared" si="0"/>
        <v>2.7</v>
      </c>
      <c r="F33" s="3">
        <f t="shared" si="0"/>
        <v>39.44</v>
      </c>
      <c r="G33" s="16">
        <f t="shared" si="0"/>
        <v>44484</v>
      </c>
      <c r="H33" s="35">
        <v>0.52</v>
      </c>
      <c r="I33" s="16"/>
      <c r="J33" s="16"/>
      <c r="K33" s="20">
        <v>1.04</v>
      </c>
      <c r="O33" s="45">
        <v>0.73029674300000003</v>
      </c>
      <c r="S33" s="35"/>
    </row>
    <row r="34" spans="1:33" x14ac:dyDescent="0.25">
      <c r="A34" s="2">
        <f t="shared" si="0"/>
        <v>11</v>
      </c>
      <c r="B34" t="str">
        <f t="shared" si="0"/>
        <v>NEX_CAT_240_H_85_M</v>
      </c>
      <c r="C34" s="2">
        <v>1.32</v>
      </c>
      <c r="D34">
        <f t="shared" si="0"/>
        <v>85</v>
      </c>
      <c r="E34">
        <f t="shared" si="0"/>
        <v>2.95</v>
      </c>
      <c r="F34" s="3">
        <f t="shared" si="0"/>
        <v>33.83</v>
      </c>
      <c r="G34" s="16">
        <f t="shared" si="0"/>
        <v>44484</v>
      </c>
      <c r="H34" s="35">
        <v>1.49</v>
      </c>
      <c r="I34" s="16"/>
      <c r="J34" s="16"/>
      <c r="K34" s="20">
        <v>0.94</v>
      </c>
      <c r="O34" s="45">
        <v>0.618241233</v>
      </c>
      <c r="S34" s="35"/>
    </row>
    <row r="35" spans="1:33" x14ac:dyDescent="0.25">
      <c r="A35" s="2">
        <f t="shared" si="0"/>
        <v>12</v>
      </c>
      <c r="B35" t="str">
        <f t="shared" si="0"/>
        <v>NEX_CAT_240_H_85_D</v>
      </c>
      <c r="C35" s="2">
        <v>1.32</v>
      </c>
      <c r="D35">
        <f t="shared" si="0"/>
        <v>85</v>
      </c>
      <c r="E35">
        <f t="shared" si="0"/>
        <v>3.2</v>
      </c>
      <c r="F35" s="3">
        <f t="shared" si="0"/>
        <v>28.22</v>
      </c>
      <c r="G35" s="16">
        <f t="shared" si="0"/>
        <v>44484</v>
      </c>
      <c r="H35" s="35">
        <v>2.19</v>
      </c>
      <c r="I35" s="16"/>
      <c r="J35" s="16"/>
      <c r="K35" s="20">
        <v>1.04</v>
      </c>
      <c r="O35" s="45">
        <v>0.77261813000000001</v>
      </c>
      <c r="S35" s="35">
        <v>0.77261813000000001</v>
      </c>
      <c r="W35" s="2">
        <v>0.69920589899999996</v>
      </c>
    </row>
    <row r="36" spans="1:33" x14ac:dyDescent="0.25">
      <c r="A36" s="2">
        <f t="shared" si="0"/>
        <v>13</v>
      </c>
      <c r="B36" t="str">
        <f t="shared" si="0"/>
        <v>NEX_CAT_240_H_120_P</v>
      </c>
      <c r="C36" s="2">
        <v>1.32</v>
      </c>
      <c r="D36">
        <f t="shared" si="0"/>
        <v>120</v>
      </c>
      <c r="E36">
        <f t="shared" si="0"/>
        <v>2.7</v>
      </c>
      <c r="F36" s="3">
        <f t="shared" si="0"/>
        <v>39.44</v>
      </c>
      <c r="G36" s="16">
        <f t="shared" si="0"/>
        <v>44487</v>
      </c>
      <c r="H36" s="35">
        <v>1.41</v>
      </c>
      <c r="I36" s="16"/>
      <c r="J36" s="16"/>
      <c r="K36" s="20">
        <v>0.71</v>
      </c>
      <c r="O36" s="45">
        <v>0.816496581</v>
      </c>
      <c r="S36" s="35">
        <v>0.816496581</v>
      </c>
      <c r="W36" s="2">
        <v>0.78881063799999995</v>
      </c>
    </row>
    <row r="37" spans="1:33" x14ac:dyDescent="0.25">
      <c r="A37" s="2">
        <f t="shared" si="0"/>
        <v>14</v>
      </c>
      <c r="B37" t="str">
        <f t="shared" si="0"/>
        <v>NEX_CAT_240_H_120_M</v>
      </c>
      <c r="C37" s="2">
        <v>1.32</v>
      </c>
      <c r="D37">
        <f t="shared" si="0"/>
        <v>120</v>
      </c>
      <c r="E37">
        <f t="shared" si="0"/>
        <v>2.95</v>
      </c>
      <c r="F37" s="3">
        <f t="shared" si="0"/>
        <v>33.83</v>
      </c>
      <c r="G37" s="16">
        <f t="shared" si="0"/>
        <v>44487</v>
      </c>
      <c r="H37" s="35">
        <v>1.19</v>
      </c>
      <c r="I37" s="16"/>
      <c r="J37" s="16"/>
      <c r="K37" s="20">
        <v>0.71</v>
      </c>
      <c r="O37" s="45">
        <v>0.71802197400000001</v>
      </c>
      <c r="S37" s="35">
        <v>0.71802197400000001</v>
      </c>
      <c r="W37" s="2">
        <v>0.83266640000000003</v>
      </c>
    </row>
    <row r="38" spans="1:33" x14ac:dyDescent="0.25">
      <c r="A38" s="2">
        <f t="shared" si="0"/>
        <v>15</v>
      </c>
      <c r="B38" t="str">
        <f t="shared" si="0"/>
        <v>NEX_CAT_240_H_120_D</v>
      </c>
      <c r="C38" s="2">
        <v>1.32</v>
      </c>
      <c r="D38">
        <f t="shared" si="0"/>
        <v>120</v>
      </c>
      <c r="E38">
        <f t="shared" si="0"/>
        <v>3.2</v>
      </c>
      <c r="F38" s="3">
        <f t="shared" si="0"/>
        <v>28.22</v>
      </c>
      <c r="G38" s="16">
        <f t="shared" si="0"/>
        <v>44487</v>
      </c>
      <c r="H38" s="35">
        <v>0.82</v>
      </c>
      <c r="I38" s="16"/>
      <c r="J38" s="16"/>
      <c r="K38" s="20">
        <v>0.87</v>
      </c>
      <c r="O38" s="45">
        <v>0.88443327699999996</v>
      </c>
      <c r="S38" s="35">
        <v>0.88443327699999996</v>
      </c>
      <c r="W38" s="2">
        <v>0.69920589899999996</v>
      </c>
    </row>
    <row r="39" spans="1:33" x14ac:dyDescent="0.25">
      <c r="A39" s="2">
        <f t="shared" si="0"/>
        <v>16</v>
      </c>
      <c r="B39" t="str">
        <f t="shared" si="0"/>
        <v>NEX_CAT_240_H_145_P</v>
      </c>
      <c r="C39" s="2">
        <v>1.32</v>
      </c>
      <c r="D39">
        <f t="shared" si="0"/>
        <v>145</v>
      </c>
      <c r="E39">
        <f t="shared" si="0"/>
        <v>2.7</v>
      </c>
      <c r="F39" s="3">
        <f t="shared" si="0"/>
        <v>39.44</v>
      </c>
      <c r="G39" s="16">
        <f t="shared" si="0"/>
        <v>44496</v>
      </c>
      <c r="H39" s="35">
        <v>1.94</v>
      </c>
      <c r="I39" s="16"/>
      <c r="J39" s="16"/>
      <c r="K39" s="20">
        <v>0.79</v>
      </c>
      <c r="O39" s="45">
        <v>1.4966629549999999</v>
      </c>
      <c r="S39" s="35"/>
    </row>
    <row r="40" spans="1:33" x14ac:dyDescent="0.25">
      <c r="A40" s="2">
        <f t="shared" si="0"/>
        <v>17</v>
      </c>
      <c r="B40" t="str">
        <f t="shared" si="0"/>
        <v>NEX_CAT_240_H_145_M</v>
      </c>
      <c r="C40" s="2">
        <v>1.32</v>
      </c>
      <c r="D40">
        <f t="shared" si="0"/>
        <v>145</v>
      </c>
      <c r="E40">
        <f t="shared" si="0"/>
        <v>2.95</v>
      </c>
      <c r="F40" s="3">
        <f t="shared" si="0"/>
        <v>33.83</v>
      </c>
      <c r="G40" s="16">
        <f t="shared" si="0"/>
        <v>44496</v>
      </c>
      <c r="H40" s="35">
        <v>0.79</v>
      </c>
      <c r="I40" s="16"/>
      <c r="J40" s="16"/>
      <c r="K40" s="20">
        <v>0.68</v>
      </c>
      <c r="O40" s="45">
        <v>0.67986926800000003</v>
      </c>
      <c r="S40" s="35">
        <v>0.67986926800000003</v>
      </c>
      <c r="W40" s="2">
        <v>1.024152766</v>
      </c>
      <c r="AA40">
        <v>1.024152766</v>
      </c>
      <c r="AE40" s="2">
        <v>0.95219045700000005</v>
      </c>
    </row>
    <row r="41" spans="1:33" s="7" customFormat="1" ht="15.75" thickBot="1" x14ac:dyDescent="0.3">
      <c r="A41" s="6">
        <f t="shared" ref="A41:G41" si="1">A20</f>
        <v>18</v>
      </c>
      <c r="B41" s="7" t="str">
        <f t="shared" si="1"/>
        <v>NEX_CAT_240_H_145_D</v>
      </c>
      <c r="C41" s="6">
        <v>1.32</v>
      </c>
      <c r="D41" s="7">
        <f t="shared" si="1"/>
        <v>145</v>
      </c>
      <c r="E41" s="7">
        <f t="shared" si="1"/>
        <v>3.2</v>
      </c>
      <c r="F41" s="8">
        <f t="shared" si="1"/>
        <v>28.22</v>
      </c>
      <c r="G41" s="33">
        <f t="shared" si="1"/>
        <v>44496</v>
      </c>
      <c r="H41" s="41">
        <v>1.94</v>
      </c>
      <c r="I41" s="33"/>
      <c r="J41" s="33"/>
      <c r="K41" s="42">
        <v>0.68</v>
      </c>
      <c r="O41" s="46">
        <v>0.95684667300000004</v>
      </c>
      <c r="Q41" s="8"/>
      <c r="S41" s="41">
        <v>0.95684667300000004</v>
      </c>
      <c r="W41" s="6">
        <v>0.489897949</v>
      </c>
      <c r="Y41" s="8"/>
      <c r="AE41" s="6"/>
      <c r="AG41" s="8"/>
    </row>
  </sheetData>
  <mergeCells count="8">
    <mergeCell ref="C22:F22"/>
    <mergeCell ref="C1:F1"/>
    <mergeCell ref="O1:Q1"/>
    <mergeCell ref="W1:Y1"/>
    <mergeCell ref="AE1:AG1"/>
    <mergeCell ref="K1:M1"/>
    <mergeCell ref="S1:U1"/>
    <mergeCell ref="AA1:A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f2877b-f985-4c6d-983a-7f8161d1e065">
      <Terms xmlns="http://schemas.microsoft.com/office/infopath/2007/PartnerControls"/>
    </lcf76f155ced4ddcb4097134ff3c332f>
    <TaxCatchAll xmlns="5b2707de-77a1-4cb8-b783-cae22a960d5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D77A7CC59B264EA6C1839A0D17F38A" ma:contentTypeVersion="16" ma:contentTypeDescription="Create a new document." ma:contentTypeScope="" ma:versionID="515efc6ad613ce8ed8516232b881f52a">
  <xsd:schema xmlns:xsd="http://www.w3.org/2001/XMLSchema" xmlns:xs="http://www.w3.org/2001/XMLSchema" xmlns:p="http://schemas.microsoft.com/office/2006/metadata/properties" xmlns:ns2="5b2707de-77a1-4cb8-b783-cae22a960d58" xmlns:ns3="daf2877b-f985-4c6d-983a-7f8161d1e065" targetNamespace="http://schemas.microsoft.com/office/2006/metadata/properties" ma:root="true" ma:fieldsID="db33b2e870a2b50f36076e4743a23a57" ns2:_="" ns3:_="">
    <xsd:import namespace="5b2707de-77a1-4cb8-b783-cae22a960d58"/>
    <xsd:import namespace="daf2877b-f985-4c6d-983a-7f8161d1e06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2707de-77a1-4cb8-b783-cae22a960d5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918f944-3d4e-42ba-83a0-09a32975b611}" ma:internalName="TaxCatchAll" ma:showField="CatchAllData" ma:web="5b2707de-77a1-4cb8-b783-cae22a960d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f2877b-f985-4c6d-983a-7f8161d1e0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55cd427-a42c-44c8-816a-2405638e27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C4E073-DB8A-4537-A706-34FF32192A00}">
  <ds:schemaRefs>
    <ds:schemaRef ds:uri="http://schemas.microsoft.com/office/2006/metadata/properties"/>
    <ds:schemaRef ds:uri="http://schemas.microsoft.com/office/infopath/2007/PartnerControls"/>
    <ds:schemaRef ds:uri="daf2877b-f985-4c6d-983a-7f8161d1e065"/>
    <ds:schemaRef ds:uri="5b2707de-77a1-4cb8-b783-cae22a960d58"/>
  </ds:schemaRefs>
</ds:datastoreItem>
</file>

<file path=customXml/itemProps2.xml><?xml version="1.0" encoding="utf-8"?>
<ds:datastoreItem xmlns:ds="http://schemas.openxmlformats.org/officeDocument/2006/customXml" ds:itemID="{607F1E77-9FEE-4AC3-A95F-02088C67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30C53B-0049-4F39-981F-33F30E3E6A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2707de-77a1-4cb8-b783-cae22a960d58"/>
    <ds:schemaRef ds:uri="daf2877b-f985-4c6d-983a-7f8161d1e0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Cathode</vt:lpstr>
      <vt:lpstr>Cathode-Intermediate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Geanina Apachitei</dc:creator>
  <cp:keywords/>
  <dc:description/>
  <cp:lastModifiedBy>Mora Faraji Niri</cp:lastModifiedBy>
  <cp:revision/>
  <dcterms:created xsi:type="dcterms:W3CDTF">2015-06-05T18:17:20Z</dcterms:created>
  <dcterms:modified xsi:type="dcterms:W3CDTF">2023-07-10T13:52:53Z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0x01010007D77A7CC59B264EA6C1839A0D17F38A</vt:lpwstr>
  </property>
  <property fmtid="{D5CDD505-2E9C-101B-9397-08002B2CF9AE}" pid="3" name="MediaServiceImageTags">
    <vt:lpwstr/>
  </property>
</Properties>
</file>