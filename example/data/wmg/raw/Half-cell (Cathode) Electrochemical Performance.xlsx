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i_m\Documents\Main Drive Mona\3. Nextrode\4. Pres-Reports\1.Papers\19. DIB Mark\Data In Brief\Attachments\To Submit\1- Tables\"/>
    </mc:Choice>
  </mc:AlternateContent>
  <xr:revisionPtr revIDLastSave="0" documentId="13_ncr:1_{51C4698B-C2A5-4D6C-9C18-AED37490F5E5}" xr6:coauthVersionLast="47" xr6:coauthVersionMax="47" xr10:uidLastSave="{00000000-0000-0000-0000-000000000000}"/>
  <bookViews>
    <workbookView xWindow="-23148" yWindow="-108" windowWidth="23256" windowHeight="12576" tabRatio="990" activeTab="18" xr2:uid="{00000000-000D-0000-FFFF-FFFF00000000}"/>
  </bookViews>
  <sheets>
    <sheet name="Table" sheetId="5" r:id="rId1"/>
    <sheet name="Group1" sheetId="1" r:id="rId2"/>
    <sheet name="Group2" sheetId="14" r:id="rId3"/>
    <sheet name="Group3" sheetId="8" r:id="rId4"/>
    <sheet name="Group4" sheetId="7" r:id="rId5"/>
    <sheet name="Group5" sheetId="15" r:id="rId6"/>
    <sheet name="Group6" sheetId="16" r:id="rId7"/>
    <sheet name="Group7" sheetId="2" r:id="rId8"/>
    <sheet name="Group8" sheetId="17" r:id="rId9"/>
    <sheet name="Group9" sheetId="9" r:id="rId10"/>
    <sheet name="Group10" sheetId="10" r:id="rId11"/>
    <sheet name="Group11" sheetId="21" r:id="rId12"/>
    <sheet name="Group12" sheetId="3" r:id="rId13"/>
    <sheet name="Group13" sheetId="18" r:id="rId14"/>
    <sheet name="Group14" sheetId="20" r:id="rId15"/>
    <sheet name="Group15" sheetId="11" r:id="rId16"/>
    <sheet name="Group16" sheetId="13" r:id="rId17"/>
    <sheet name="Group17" sheetId="19" r:id="rId18"/>
    <sheet name="Group18" sheetId="4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1" i="4" l="1"/>
  <c r="F151" i="4"/>
  <c r="G150" i="4"/>
  <c r="F150" i="4"/>
  <c r="G149" i="4"/>
  <c r="F149" i="4"/>
  <c r="G148" i="4"/>
  <c r="F148" i="4"/>
  <c r="G146" i="4"/>
  <c r="F146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17" i="4"/>
  <c r="F17" i="4"/>
  <c r="G16" i="4"/>
  <c r="F16" i="4"/>
  <c r="G15" i="4"/>
  <c r="F15" i="4"/>
  <c r="G14" i="4"/>
  <c r="F14" i="4"/>
  <c r="G13" i="4"/>
  <c r="F13" i="4"/>
  <c r="G12" i="4"/>
  <c r="F12" i="4"/>
  <c r="G151" i="19"/>
  <c r="F151" i="19"/>
  <c r="G150" i="19"/>
  <c r="F150" i="19"/>
  <c r="G149" i="19"/>
  <c r="F149" i="19"/>
  <c r="G148" i="19"/>
  <c r="F148" i="19"/>
  <c r="G146" i="19"/>
  <c r="F146" i="19"/>
  <c r="G78" i="19"/>
  <c r="F78" i="19"/>
  <c r="G77" i="19"/>
  <c r="F77" i="19"/>
  <c r="G76" i="19"/>
  <c r="F76" i="19"/>
  <c r="G75" i="19"/>
  <c r="F75" i="19"/>
  <c r="G74" i="19"/>
  <c r="F74" i="19"/>
  <c r="G73" i="19"/>
  <c r="F73" i="19"/>
  <c r="G72" i="19"/>
  <c r="F72" i="19"/>
  <c r="G71" i="19"/>
  <c r="F71" i="19"/>
  <c r="G70" i="19"/>
  <c r="F70" i="19"/>
  <c r="G69" i="19"/>
  <c r="F69" i="19"/>
  <c r="G68" i="19"/>
  <c r="F68" i="19"/>
  <c r="G67" i="19"/>
  <c r="F67" i="19"/>
  <c r="G66" i="19"/>
  <c r="F66" i="19"/>
  <c r="G65" i="19"/>
  <c r="F65" i="19"/>
  <c r="G64" i="19"/>
  <c r="F64" i="19"/>
  <c r="G63" i="19"/>
  <c r="F63" i="19"/>
  <c r="G62" i="19"/>
  <c r="F62" i="19"/>
  <c r="G61" i="19"/>
  <c r="F61" i="19"/>
  <c r="G60" i="19"/>
  <c r="F60" i="19"/>
  <c r="G59" i="19"/>
  <c r="F59" i="19"/>
  <c r="G58" i="19"/>
  <c r="F58" i="19"/>
  <c r="G57" i="19"/>
  <c r="F57" i="19"/>
  <c r="G56" i="19"/>
  <c r="F56" i="19"/>
  <c r="G55" i="19"/>
  <c r="F55" i="19"/>
  <c r="G54" i="19"/>
  <c r="F54" i="19"/>
  <c r="G53" i="19"/>
  <c r="F53" i="19"/>
  <c r="G52" i="19"/>
  <c r="F52" i="19"/>
  <c r="G51" i="19"/>
  <c r="F51" i="19"/>
  <c r="G50" i="19"/>
  <c r="F50" i="19"/>
  <c r="G49" i="19"/>
  <c r="F49" i="19"/>
  <c r="G48" i="19"/>
  <c r="F48" i="19"/>
  <c r="G47" i="19"/>
  <c r="F47" i="19"/>
  <c r="G46" i="19"/>
  <c r="F46" i="19"/>
  <c r="G45" i="19"/>
  <c r="F45" i="19"/>
  <c r="G44" i="19"/>
  <c r="F44" i="19"/>
  <c r="G43" i="19"/>
  <c r="F43" i="19"/>
  <c r="G42" i="19"/>
  <c r="F42" i="19"/>
  <c r="G41" i="19"/>
  <c r="F41" i="19"/>
  <c r="G40" i="19"/>
  <c r="F40" i="19"/>
  <c r="G39" i="19"/>
  <c r="F39" i="19"/>
  <c r="G38" i="19"/>
  <c r="F38" i="19"/>
  <c r="G37" i="19"/>
  <c r="F37" i="19"/>
  <c r="G36" i="19"/>
  <c r="F36" i="19"/>
  <c r="G35" i="19"/>
  <c r="F35" i="19"/>
  <c r="G34" i="19"/>
  <c r="F34" i="19"/>
  <c r="G33" i="19"/>
  <c r="F33" i="19"/>
  <c r="G17" i="19"/>
  <c r="F17" i="19"/>
  <c r="G16" i="19"/>
  <c r="F16" i="19"/>
  <c r="G15" i="19"/>
  <c r="F15" i="19"/>
  <c r="G14" i="19"/>
  <c r="F14" i="19"/>
  <c r="G13" i="19"/>
  <c r="F13" i="19"/>
  <c r="G12" i="19"/>
  <c r="F12" i="19"/>
  <c r="G151" i="13"/>
  <c r="F151" i="13"/>
  <c r="G150" i="13"/>
  <c r="F150" i="13"/>
  <c r="G149" i="13"/>
  <c r="F149" i="13"/>
  <c r="G148" i="13"/>
  <c r="F148" i="13"/>
  <c r="G146" i="13"/>
  <c r="F146" i="13"/>
  <c r="G78" i="13"/>
  <c r="F78" i="13"/>
  <c r="G77" i="13"/>
  <c r="F77" i="13"/>
  <c r="G76" i="13"/>
  <c r="F76" i="13"/>
  <c r="G75" i="13"/>
  <c r="F75" i="13"/>
  <c r="G74" i="13"/>
  <c r="F74" i="13"/>
  <c r="G73" i="13"/>
  <c r="F73" i="13"/>
  <c r="G72" i="13"/>
  <c r="F72" i="13"/>
  <c r="G71" i="13"/>
  <c r="F71" i="13"/>
  <c r="G70" i="13"/>
  <c r="F70" i="13"/>
  <c r="G69" i="13"/>
  <c r="F69" i="13"/>
  <c r="G68" i="13"/>
  <c r="F68" i="13"/>
  <c r="G67" i="13"/>
  <c r="F67" i="13"/>
  <c r="G66" i="13"/>
  <c r="F66" i="13"/>
  <c r="G65" i="13"/>
  <c r="F65" i="13"/>
  <c r="G64" i="13"/>
  <c r="F64" i="13"/>
  <c r="G63" i="13"/>
  <c r="F63" i="13"/>
  <c r="G62" i="13"/>
  <c r="F62" i="13"/>
  <c r="G61" i="13"/>
  <c r="F61" i="13"/>
  <c r="G60" i="13"/>
  <c r="F60" i="13"/>
  <c r="G59" i="13"/>
  <c r="F59" i="13"/>
  <c r="G58" i="13"/>
  <c r="F58" i="13"/>
  <c r="G57" i="13"/>
  <c r="F57" i="13"/>
  <c r="G56" i="13"/>
  <c r="F56" i="13"/>
  <c r="G55" i="13"/>
  <c r="F55" i="13"/>
  <c r="G54" i="13"/>
  <c r="F54" i="13"/>
  <c r="G53" i="13"/>
  <c r="F53" i="13"/>
  <c r="G52" i="13"/>
  <c r="F52" i="13"/>
  <c r="G51" i="13"/>
  <c r="F51" i="13"/>
  <c r="G50" i="13"/>
  <c r="F50" i="13"/>
  <c r="G49" i="13"/>
  <c r="F49" i="13"/>
  <c r="G48" i="13"/>
  <c r="F48" i="13"/>
  <c r="G47" i="13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51" i="11"/>
  <c r="F151" i="11"/>
  <c r="G150" i="11"/>
  <c r="F150" i="11"/>
  <c r="G149" i="11"/>
  <c r="F149" i="11"/>
  <c r="G148" i="11"/>
  <c r="F148" i="11"/>
  <c r="G146" i="11"/>
  <c r="F146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59" i="20"/>
  <c r="F159" i="20"/>
  <c r="G158" i="20"/>
  <c r="F158" i="20"/>
  <c r="G157" i="20"/>
  <c r="F157" i="20"/>
  <c r="G156" i="20"/>
  <c r="F156" i="20"/>
  <c r="G154" i="20"/>
  <c r="F154" i="20"/>
  <c r="G86" i="20"/>
  <c r="F86" i="20"/>
  <c r="G85" i="20"/>
  <c r="F85" i="20"/>
  <c r="G84" i="20"/>
  <c r="F84" i="20"/>
  <c r="G83" i="20"/>
  <c r="F83" i="20"/>
  <c r="G82" i="20"/>
  <c r="F82" i="20"/>
  <c r="G81" i="20"/>
  <c r="F81" i="20"/>
  <c r="G80" i="20"/>
  <c r="F80" i="20"/>
  <c r="G79" i="20"/>
  <c r="F79" i="20"/>
  <c r="G78" i="20"/>
  <c r="F78" i="20"/>
  <c r="G77" i="20"/>
  <c r="F77" i="20"/>
  <c r="G76" i="20"/>
  <c r="F76" i="20"/>
  <c r="G75" i="20"/>
  <c r="F75" i="20"/>
  <c r="G74" i="20"/>
  <c r="F74" i="20"/>
  <c r="G73" i="20"/>
  <c r="F73" i="20"/>
  <c r="G72" i="20"/>
  <c r="F72" i="20"/>
  <c r="G71" i="20"/>
  <c r="F71" i="20"/>
  <c r="G70" i="20"/>
  <c r="F70" i="20"/>
  <c r="G69" i="20"/>
  <c r="F69" i="20"/>
  <c r="G68" i="20"/>
  <c r="F68" i="20"/>
  <c r="G67" i="20"/>
  <c r="F67" i="20"/>
  <c r="G66" i="20"/>
  <c r="F66" i="20"/>
  <c r="G65" i="20"/>
  <c r="F65" i="20"/>
  <c r="G64" i="20"/>
  <c r="F64" i="20"/>
  <c r="G63" i="20"/>
  <c r="F63" i="20"/>
  <c r="G62" i="20"/>
  <c r="F62" i="20"/>
  <c r="G61" i="20"/>
  <c r="F61" i="20"/>
  <c r="G60" i="20"/>
  <c r="F60" i="20"/>
  <c r="G59" i="20"/>
  <c r="F59" i="20"/>
  <c r="G58" i="20"/>
  <c r="F58" i="20"/>
  <c r="G57" i="20"/>
  <c r="F57" i="20"/>
  <c r="G56" i="20"/>
  <c r="F56" i="20"/>
  <c r="G55" i="20"/>
  <c r="F55" i="20"/>
  <c r="G54" i="20"/>
  <c r="F54" i="20"/>
  <c r="G53" i="20"/>
  <c r="F53" i="20"/>
  <c r="G52" i="20"/>
  <c r="F52" i="20"/>
  <c r="G51" i="20"/>
  <c r="F51" i="20"/>
  <c r="G50" i="20"/>
  <c r="F50" i="20"/>
  <c r="G49" i="20"/>
  <c r="F49" i="20"/>
  <c r="G48" i="20"/>
  <c r="F48" i="20"/>
  <c r="G47" i="20"/>
  <c r="F47" i="20"/>
  <c r="G46" i="20"/>
  <c r="F46" i="20"/>
  <c r="G45" i="20"/>
  <c r="F45" i="20"/>
  <c r="G44" i="20"/>
  <c r="F44" i="20"/>
  <c r="G43" i="20"/>
  <c r="F43" i="20"/>
  <c r="G42" i="20"/>
  <c r="F42" i="20"/>
  <c r="G41" i="20"/>
  <c r="F41" i="20"/>
  <c r="G25" i="20"/>
  <c r="F25" i="20"/>
  <c r="G24" i="20"/>
  <c r="F24" i="20"/>
  <c r="G23" i="20"/>
  <c r="F23" i="20"/>
  <c r="G22" i="20"/>
  <c r="F22" i="20"/>
  <c r="G21" i="20"/>
  <c r="F21" i="20"/>
  <c r="G20" i="20"/>
  <c r="F20" i="20"/>
  <c r="G151" i="18"/>
  <c r="F151" i="18"/>
  <c r="G150" i="18"/>
  <c r="F150" i="18"/>
  <c r="G149" i="18"/>
  <c r="F149" i="18"/>
  <c r="G148" i="18"/>
  <c r="F148" i="18"/>
  <c r="G146" i="18"/>
  <c r="F146" i="18"/>
  <c r="G78" i="18"/>
  <c r="F78" i="18"/>
  <c r="G77" i="18"/>
  <c r="F77" i="18"/>
  <c r="G76" i="18"/>
  <c r="F76" i="18"/>
  <c r="G75" i="18"/>
  <c r="F75" i="18"/>
  <c r="G74" i="18"/>
  <c r="F74" i="18"/>
  <c r="G73" i="18"/>
  <c r="F73" i="18"/>
  <c r="G72" i="18"/>
  <c r="F72" i="18"/>
  <c r="G71" i="18"/>
  <c r="F71" i="18"/>
  <c r="G70" i="18"/>
  <c r="F70" i="18"/>
  <c r="G69" i="18"/>
  <c r="F69" i="18"/>
  <c r="G68" i="18"/>
  <c r="F68" i="18"/>
  <c r="G67" i="18"/>
  <c r="F67" i="18"/>
  <c r="G66" i="18"/>
  <c r="F66" i="18"/>
  <c r="G65" i="18"/>
  <c r="F65" i="18"/>
  <c r="G64" i="18"/>
  <c r="F64" i="18"/>
  <c r="G63" i="18"/>
  <c r="F63" i="18"/>
  <c r="G62" i="18"/>
  <c r="F62" i="18"/>
  <c r="G61" i="18"/>
  <c r="F61" i="18"/>
  <c r="G60" i="18"/>
  <c r="F60" i="18"/>
  <c r="G59" i="18"/>
  <c r="F59" i="18"/>
  <c r="G58" i="18"/>
  <c r="F58" i="18"/>
  <c r="G57" i="18"/>
  <c r="F57" i="18"/>
  <c r="G56" i="18"/>
  <c r="F56" i="18"/>
  <c r="G55" i="18"/>
  <c r="F55" i="18"/>
  <c r="G54" i="18"/>
  <c r="F54" i="18"/>
  <c r="G53" i="18"/>
  <c r="F53" i="18"/>
  <c r="G52" i="18"/>
  <c r="F52" i="18"/>
  <c r="G51" i="18"/>
  <c r="F51" i="18"/>
  <c r="G50" i="18"/>
  <c r="F50" i="18"/>
  <c r="G49" i="18"/>
  <c r="F49" i="18"/>
  <c r="G48" i="18"/>
  <c r="F48" i="18"/>
  <c r="G47" i="18"/>
  <c r="F47" i="18"/>
  <c r="G46" i="18"/>
  <c r="F46" i="18"/>
  <c r="G45" i="18"/>
  <c r="F45" i="18"/>
  <c r="G44" i="18"/>
  <c r="F44" i="18"/>
  <c r="G43" i="18"/>
  <c r="F43" i="18"/>
  <c r="G42" i="18"/>
  <c r="F42" i="18"/>
  <c r="G41" i="18"/>
  <c r="F41" i="18"/>
  <c r="G40" i="18"/>
  <c r="F40" i="18"/>
  <c r="G39" i="18"/>
  <c r="F39" i="18"/>
  <c r="G38" i="18"/>
  <c r="F38" i="18"/>
  <c r="G37" i="18"/>
  <c r="F37" i="18"/>
  <c r="G36" i="18"/>
  <c r="F36" i="18"/>
  <c r="G35" i="18"/>
  <c r="F35" i="18"/>
  <c r="G34" i="18"/>
  <c r="F34" i="18"/>
  <c r="G33" i="18"/>
  <c r="F33" i="18"/>
  <c r="G17" i="18"/>
  <c r="F17" i="18"/>
  <c r="G16" i="18"/>
  <c r="F16" i="18"/>
  <c r="G15" i="18"/>
  <c r="F15" i="18"/>
  <c r="G14" i="18"/>
  <c r="F14" i="18"/>
  <c r="G13" i="18"/>
  <c r="F13" i="18"/>
  <c r="G12" i="18"/>
  <c r="F12" i="18"/>
  <c r="G153" i="3"/>
  <c r="F153" i="3"/>
  <c r="G151" i="3"/>
  <c r="F151" i="3"/>
  <c r="G150" i="3"/>
  <c r="F150" i="3"/>
  <c r="G149" i="3"/>
  <c r="F149" i="3"/>
  <c r="G148" i="3"/>
  <c r="F148" i="3"/>
  <c r="G146" i="3"/>
  <c r="F146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17" i="3"/>
  <c r="F17" i="3"/>
  <c r="G16" i="3"/>
  <c r="F16" i="3"/>
  <c r="G15" i="3"/>
  <c r="F15" i="3"/>
  <c r="G14" i="3"/>
  <c r="F14" i="3"/>
  <c r="G13" i="3"/>
  <c r="F13" i="3"/>
  <c r="G12" i="3"/>
  <c r="F12" i="3"/>
  <c r="G151" i="21"/>
  <c r="F151" i="21"/>
  <c r="G150" i="21"/>
  <c r="F150" i="21"/>
  <c r="G149" i="21"/>
  <c r="F149" i="21"/>
  <c r="G148" i="21"/>
  <c r="F148" i="21"/>
  <c r="G146" i="21"/>
  <c r="F146" i="21"/>
  <c r="G78" i="21"/>
  <c r="F78" i="21"/>
  <c r="G77" i="21"/>
  <c r="F77" i="21"/>
  <c r="G76" i="21"/>
  <c r="F76" i="21"/>
  <c r="G75" i="21"/>
  <c r="F75" i="21"/>
  <c r="G74" i="21"/>
  <c r="F74" i="21"/>
  <c r="G73" i="21"/>
  <c r="F73" i="21"/>
  <c r="G72" i="21"/>
  <c r="F72" i="21"/>
  <c r="G71" i="21"/>
  <c r="F71" i="21"/>
  <c r="G70" i="21"/>
  <c r="F70" i="21"/>
  <c r="G69" i="21"/>
  <c r="F69" i="21"/>
  <c r="G68" i="21"/>
  <c r="F68" i="21"/>
  <c r="G67" i="21"/>
  <c r="F67" i="21"/>
  <c r="G66" i="21"/>
  <c r="F66" i="21"/>
  <c r="G65" i="21"/>
  <c r="F65" i="21"/>
  <c r="G64" i="21"/>
  <c r="F64" i="21"/>
  <c r="G63" i="21"/>
  <c r="F63" i="21"/>
  <c r="G62" i="21"/>
  <c r="F62" i="21"/>
  <c r="G61" i="21"/>
  <c r="F61" i="21"/>
  <c r="G60" i="21"/>
  <c r="F60" i="21"/>
  <c r="G59" i="21"/>
  <c r="F59" i="21"/>
  <c r="G58" i="21"/>
  <c r="F58" i="21"/>
  <c r="G57" i="21"/>
  <c r="F57" i="21"/>
  <c r="G56" i="21"/>
  <c r="F56" i="21"/>
  <c r="G55" i="21"/>
  <c r="F55" i="21"/>
  <c r="G54" i="21"/>
  <c r="F54" i="21"/>
  <c r="G53" i="21"/>
  <c r="F53" i="21"/>
  <c r="G52" i="21"/>
  <c r="F52" i="21"/>
  <c r="G51" i="21"/>
  <c r="F51" i="21"/>
  <c r="G50" i="21"/>
  <c r="F50" i="21"/>
  <c r="G49" i="21"/>
  <c r="F49" i="21"/>
  <c r="G48" i="21"/>
  <c r="F48" i="21"/>
  <c r="G47" i="21"/>
  <c r="F47" i="21"/>
  <c r="G46" i="21"/>
  <c r="F46" i="21"/>
  <c r="G45" i="21"/>
  <c r="F45" i="21"/>
  <c r="G44" i="21"/>
  <c r="F44" i="21"/>
  <c r="G43" i="21"/>
  <c r="F43" i="21"/>
  <c r="G42" i="21"/>
  <c r="F42" i="21"/>
  <c r="G41" i="21"/>
  <c r="F41" i="21"/>
  <c r="G40" i="21"/>
  <c r="F40" i="21"/>
  <c r="G39" i="21"/>
  <c r="F39" i="21"/>
  <c r="G38" i="21"/>
  <c r="F38" i="21"/>
  <c r="G37" i="21"/>
  <c r="F37" i="21"/>
  <c r="G36" i="21"/>
  <c r="F36" i="21"/>
  <c r="G35" i="21"/>
  <c r="F35" i="21"/>
  <c r="G34" i="21"/>
  <c r="F34" i="21"/>
  <c r="G33" i="21"/>
  <c r="F33" i="21"/>
  <c r="G17" i="21"/>
  <c r="F17" i="21"/>
  <c r="G16" i="21"/>
  <c r="F16" i="21"/>
  <c r="G15" i="21"/>
  <c r="F15" i="21"/>
  <c r="G14" i="21"/>
  <c r="F14" i="21"/>
  <c r="G13" i="21"/>
  <c r="F13" i="21"/>
  <c r="G12" i="21"/>
  <c r="F12" i="21"/>
  <c r="G151" i="10"/>
  <c r="F151" i="10"/>
  <c r="G150" i="10"/>
  <c r="F150" i="10"/>
  <c r="G149" i="10"/>
  <c r="F149" i="10"/>
  <c r="G148" i="10"/>
  <c r="F148" i="10"/>
  <c r="G146" i="10"/>
  <c r="F146" i="10"/>
  <c r="G78" i="10"/>
  <c r="F78" i="10"/>
  <c r="G77" i="10"/>
  <c r="F77" i="10"/>
  <c r="G76" i="10"/>
  <c r="F76" i="10"/>
  <c r="G75" i="10"/>
  <c r="F75" i="10"/>
  <c r="G74" i="10"/>
  <c r="F74" i="10"/>
  <c r="G73" i="10"/>
  <c r="F73" i="10"/>
  <c r="G72" i="10"/>
  <c r="F72" i="10"/>
  <c r="G71" i="10"/>
  <c r="F71" i="10"/>
  <c r="G70" i="10"/>
  <c r="F70" i="10"/>
  <c r="G69" i="10"/>
  <c r="F69" i="10"/>
  <c r="G68" i="10"/>
  <c r="F68" i="10"/>
  <c r="G67" i="10"/>
  <c r="F67" i="10"/>
  <c r="G66" i="10"/>
  <c r="F66" i="10"/>
  <c r="G65" i="10"/>
  <c r="F65" i="10"/>
  <c r="G64" i="10"/>
  <c r="F64" i="10"/>
  <c r="G63" i="10"/>
  <c r="F63" i="10"/>
  <c r="G62" i="10"/>
  <c r="F62" i="10"/>
  <c r="G61" i="10"/>
  <c r="F61" i="10"/>
  <c r="G60" i="10"/>
  <c r="F60" i="10"/>
  <c r="G59" i="10"/>
  <c r="F59" i="10"/>
  <c r="G58" i="10"/>
  <c r="F58" i="10"/>
  <c r="G57" i="10"/>
  <c r="F57" i="10"/>
  <c r="G56" i="10"/>
  <c r="F56" i="10"/>
  <c r="G55" i="10"/>
  <c r="F55" i="10"/>
  <c r="G54" i="10"/>
  <c r="F54" i="10"/>
  <c r="G53" i="10"/>
  <c r="F53" i="10"/>
  <c r="G52" i="10"/>
  <c r="F52" i="10"/>
  <c r="G51" i="10"/>
  <c r="F51" i="10"/>
  <c r="G50" i="10"/>
  <c r="F50" i="10"/>
  <c r="G49" i="10"/>
  <c r="F49" i="10"/>
  <c r="G48" i="10"/>
  <c r="F48" i="10"/>
  <c r="G47" i="10"/>
  <c r="F47" i="10"/>
  <c r="G46" i="10"/>
  <c r="F46" i="10"/>
  <c r="G45" i="10"/>
  <c r="F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51" i="9"/>
  <c r="F151" i="9"/>
  <c r="G150" i="9"/>
  <c r="F150" i="9"/>
  <c r="G149" i="9"/>
  <c r="F149" i="9"/>
  <c r="G148" i="9"/>
  <c r="F148" i="9"/>
  <c r="G146" i="9"/>
  <c r="F146" i="9"/>
  <c r="G78" i="9"/>
  <c r="F78" i="9"/>
  <c r="G77" i="9"/>
  <c r="F77" i="9"/>
  <c r="G76" i="9"/>
  <c r="F76" i="9"/>
  <c r="G75" i="9"/>
  <c r="F75" i="9"/>
  <c r="G74" i="9"/>
  <c r="F74" i="9"/>
  <c r="G73" i="9"/>
  <c r="F73" i="9"/>
  <c r="G72" i="9"/>
  <c r="F72" i="9"/>
  <c r="G71" i="9"/>
  <c r="F71" i="9"/>
  <c r="G70" i="9"/>
  <c r="F70" i="9"/>
  <c r="G69" i="9"/>
  <c r="F69" i="9"/>
  <c r="G68" i="9"/>
  <c r="F68" i="9"/>
  <c r="G67" i="9"/>
  <c r="F67" i="9"/>
  <c r="G66" i="9"/>
  <c r="F66" i="9"/>
  <c r="G65" i="9"/>
  <c r="F65" i="9"/>
  <c r="G64" i="9"/>
  <c r="F64" i="9"/>
  <c r="G63" i="9"/>
  <c r="F63" i="9"/>
  <c r="G62" i="9"/>
  <c r="F62" i="9"/>
  <c r="G61" i="9"/>
  <c r="F61" i="9"/>
  <c r="G60" i="9"/>
  <c r="F60" i="9"/>
  <c r="G59" i="9"/>
  <c r="F59" i="9"/>
  <c r="G58" i="9"/>
  <c r="F58" i="9"/>
  <c r="G57" i="9"/>
  <c r="F57" i="9"/>
  <c r="G56" i="9"/>
  <c r="F56" i="9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17" i="9"/>
  <c r="F17" i="9"/>
  <c r="G16" i="9"/>
  <c r="F16" i="9"/>
  <c r="G15" i="9"/>
  <c r="F15" i="9"/>
  <c r="G14" i="9"/>
  <c r="F14" i="9"/>
  <c r="G13" i="9"/>
  <c r="F13" i="9"/>
  <c r="G12" i="9"/>
  <c r="F12" i="9"/>
  <c r="G151" i="17"/>
  <c r="F151" i="17"/>
  <c r="G150" i="17"/>
  <c r="F150" i="17"/>
  <c r="G149" i="17"/>
  <c r="F149" i="17"/>
  <c r="G148" i="17"/>
  <c r="F148" i="17"/>
  <c r="G146" i="17"/>
  <c r="F146" i="17"/>
  <c r="G78" i="17"/>
  <c r="F78" i="17"/>
  <c r="G77" i="17"/>
  <c r="F77" i="17"/>
  <c r="G76" i="17"/>
  <c r="F76" i="17"/>
  <c r="G75" i="17"/>
  <c r="F75" i="17"/>
  <c r="G74" i="17"/>
  <c r="F74" i="17"/>
  <c r="G73" i="17"/>
  <c r="F73" i="17"/>
  <c r="G72" i="17"/>
  <c r="F72" i="17"/>
  <c r="G71" i="17"/>
  <c r="F71" i="17"/>
  <c r="G70" i="17"/>
  <c r="F70" i="17"/>
  <c r="G69" i="17"/>
  <c r="F69" i="17"/>
  <c r="G68" i="17"/>
  <c r="F68" i="17"/>
  <c r="G67" i="17"/>
  <c r="F67" i="17"/>
  <c r="G66" i="17"/>
  <c r="F66" i="17"/>
  <c r="G65" i="17"/>
  <c r="F65" i="17"/>
  <c r="G64" i="17"/>
  <c r="F64" i="17"/>
  <c r="G63" i="17"/>
  <c r="F63" i="17"/>
  <c r="G62" i="17"/>
  <c r="F62" i="17"/>
  <c r="G61" i="17"/>
  <c r="F61" i="17"/>
  <c r="G60" i="17"/>
  <c r="F60" i="17"/>
  <c r="G59" i="17"/>
  <c r="F59" i="17"/>
  <c r="G58" i="17"/>
  <c r="F58" i="17"/>
  <c r="G57" i="17"/>
  <c r="F57" i="17"/>
  <c r="G56" i="17"/>
  <c r="F56" i="17"/>
  <c r="G55" i="17"/>
  <c r="F55" i="17"/>
  <c r="G54" i="17"/>
  <c r="F54" i="17"/>
  <c r="G53" i="17"/>
  <c r="F53" i="17"/>
  <c r="G52" i="17"/>
  <c r="F52" i="17"/>
  <c r="G51" i="17"/>
  <c r="F51" i="17"/>
  <c r="G50" i="17"/>
  <c r="F50" i="17"/>
  <c r="G49" i="17"/>
  <c r="F49" i="17"/>
  <c r="G48" i="17"/>
  <c r="F48" i="17"/>
  <c r="G47" i="17"/>
  <c r="F47" i="17"/>
  <c r="G46" i="17"/>
  <c r="F46" i="17"/>
  <c r="G45" i="17"/>
  <c r="F45" i="17"/>
  <c r="G44" i="17"/>
  <c r="F44" i="17"/>
  <c r="G43" i="17"/>
  <c r="F43" i="17"/>
  <c r="G42" i="17"/>
  <c r="F42" i="17"/>
  <c r="G41" i="17"/>
  <c r="F41" i="17"/>
  <c r="G40" i="17"/>
  <c r="F40" i="17"/>
  <c r="G39" i="17"/>
  <c r="F39" i="17"/>
  <c r="G38" i="17"/>
  <c r="F38" i="17"/>
  <c r="G37" i="17"/>
  <c r="F37" i="17"/>
  <c r="G36" i="17"/>
  <c r="F36" i="17"/>
  <c r="G35" i="17"/>
  <c r="F35" i="17"/>
  <c r="G34" i="17"/>
  <c r="F34" i="17"/>
  <c r="G33" i="17"/>
  <c r="F33" i="17"/>
  <c r="G17" i="17"/>
  <c r="F17" i="17"/>
  <c r="G16" i="17"/>
  <c r="F16" i="17"/>
  <c r="G15" i="17"/>
  <c r="F15" i="17"/>
  <c r="G14" i="17"/>
  <c r="F14" i="17"/>
  <c r="G13" i="17"/>
  <c r="F13" i="17"/>
  <c r="G12" i="17"/>
  <c r="F12" i="17"/>
  <c r="G151" i="2"/>
  <c r="F151" i="2"/>
  <c r="G150" i="2"/>
  <c r="F150" i="2"/>
  <c r="G149" i="2"/>
  <c r="F149" i="2"/>
  <c r="G148" i="2"/>
  <c r="F148" i="2"/>
  <c r="G146" i="2"/>
  <c r="F146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17" i="2"/>
  <c r="F17" i="2"/>
  <c r="G16" i="2"/>
  <c r="F16" i="2"/>
  <c r="G15" i="2"/>
  <c r="F15" i="2"/>
  <c r="G14" i="2"/>
  <c r="F14" i="2"/>
  <c r="G13" i="2"/>
  <c r="F13" i="2"/>
  <c r="G12" i="2"/>
  <c r="F12" i="2"/>
  <c r="G151" i="16"/>
  <c r="F151" i="16"/>
  <c r="G150" i="16"/>
  <c r="F150" i="16"/>
  <c r="G149" i="16"/>
  <c r="F149" i="16"/>
  <c r="G148" i="16"/>
  <c r="F148" i="16"/>
  <c r="G146" i="16"/>
  <c r="F146" i="16"/>
  <c r="G78" i="16"/>
  <c r="F78" i="16"/>
  <c r="G77" i="16"/>
  <c r="F77" i="16"/>
  <c r="G76" i="16"/>
  <c r="F76" i="16"/>
  <c r="G75" i="16"/>
  <c r="F75" i="16"/>
  <c r="G74" i="16"/>
  <c r="F74" i="16"/>
  <c r="G73" i="16"/>
  <c r="F73" i="16"/>
  <c r="G72" i="16"/>
  <c r="F72" i="16"/>
  <c r="G71" i="16"/>
  <c r="F71" i="16"/>
  <c r="G70" i="16"/>
  <c r="F70" i="16"/>
  <c r="G69" i="16"/>
  <c r="F69" i="16"/>
  <c r="G68" i="16"/>
  <c r="F68" i="16"/>
  <c r="G67" i="16"/>
  <c r="F67" i="16"/>
  <c r="G66" i="16"/>
  <c r="F66" i="16"/>
  <c r="G65" i="16"/>
  <c r="F65" i="16"/>
  <c r="G64" i="16"/>
  <c r="F64" i="16"/>
  <c r="G63" i="16"/>
  <c r="F63" i="16"/>
  <c r="G62" i="16"/>
  <c r="F62" i="16"/>
  <c r="G61" i="16"/>
  <c r="F61" i="16"/>
  <c r="G60" i="16"/>
  <c r="F60" i="16"/>
  <c r="G59" i="16"/>
  <c r="F59" i="16"/>
  <c r="G58" i="16"/>
  <c r="F58" i="16"/>
  <c r="G57" i="16"/>
  <c r="F57" i="16"/>
  <c r="G56" i="16"/>
  <c r="F56" i="16"/>
  <c r="G55" i="16"/>
  <c r="F55" i="16"/>
  <c r="G54" i="16"/>
  <c r="F54" i="16"/>
  <c r="G53" i="16"/>
  <c r="F53" i="16"/>
  <c r="G52" i="16"/>
  <c r="F52" i="16"/>
  <c r="G51" i="16"/>
  <c r="F51" i="16"/>
  <c r="G50" i="16"/>
  <c r="F50" i="16"/>
  <c r="G49" i="16"/>
  <c r="F49" i="16"/>
  <c r="G48" i="16"/>
  <c r="F48" i="16"/>
  <c r="G47" i="16"/>
  <c r="F47" i="16"/>
  <c r="G46" i="16"/>
  <c r="F46" i="16"/>
  <c r="G45" i="16"/>
  <c r="F45" i="16"/>
  <c r="G44" i="16"/>
  <c r="F44" i="16"/>
  <c r="G43" i="16"/>
  <c r="F43" i="16"/>
  <c r="G42" i="16"/>
  <c r="F42" i="16"/>
  <c r="G41" i="16"/>
  <c r="F41" i="16"/>
  <c r="G40" i="16"/>
  <c r="F40" i="16"/>
  <c r="G39" i="16"/>
  <c r="F39" i="16"/>
  <c r="G38" i="16"/>
  <c r="F38" i="16"/>
  <c r="G37" i="16"/>
  <c r="F37" i="16"/>
  <c r="G36" i="16"/>
  <c r="F36" i="16"/>
  <c r="G35" i="16"/>
  <c r="F35" i="16"/>
  <c r="G34" i="16"/>
  <c r="F34" i="16"/>
  <c r="G33" i="16"/>
  <c r="F33" i="16"/>
  <c r="G17" i="16"/>
  <c r="F17" i="16"/>
  <c r="G16" i="16"/>
  <c r="F16" i="16"/>
  <c r="G15" i="16"/>
  <c r="F15" i="16"/>
  <c r="G14" i="16"/>
  <c r="F14" i="16"/>
  <c r="G13" i="16"/>
  <c r="F13" i="16"/>
  <c r="G12" i="16"/>
  <c r="F12" i="16"/>
  <c r="G151" i="15"/>
  <c r="F151" i="15"/>
  <c r="G150" i="15"/>
  <c r="F150" i="15"/>
  <c r="G149" i="15"/>
  <c r="F149" i="15"/>
  <c r="G148" i="15"/>
  <c r="F148" i="15"/>
  <c r="G146" i="15"/>
  <c r="F146" i="15"/>
  <c r="G78" i="15"/>
  <c r="F78" i="15"/>
  <c r="G77" i="15"/>
  <c r="F77" i="15"/>
  <c r="G76" i="15"/>
  <c r="F76" i="15"/>
  <c r="G75" i="15"/>
  <c r="F75" i="15"/>
  <c r="G74" i="15"/>
  <c r="F74" i="15"/>
  <c r="G73" i="15"/>
  <c r="F73" i="15"/>
  <c r="G72" i="15"/>
  <c r="F72" i="15"/>
  <c r="G71" i="15"/>
  <c r="F71" i="15"/>
  <c r="G70" i="15"/>
  <c r="F70" i="15"/>
  <c r="G69" i="15"/>
  <c r="F69" i="15"/>
  <c r="G68" i="15"/>
  <c r="F68" i="15"/>
  <c r="G67" i="15"/>
  <c r="F67" i="15"/>
  <c r="G66" i="15"/>
  <c r="F66" i="15"/>
  <c r="G65" i="15"/>
  <c r="F65" i="15"/>
  <c r="G64" i="15"/>
  <c r="F64" i="15"/>
  <c r="G63" i="15"/>
  <c r="F63" i="15"/>
  <c r="G62" i="15"/>
  <c r="F62" i="15"/>
  <c r="G61" i="15"/>
  <c r="F61" i="15"/>
  <c r="G60" i="15"/>
  <c r="F60" i="15"/>
  <c r="G59" i="15"/>
  <c r="F59" i="15"/>
  <c r="G58" i="15"/>
  <c r="F58" i="15"/>
  <c r="G57" i="15"/>
  <c r="F57" i="15"/>
  <c r="G56" i="15"/>
  <c r="F56" i="15"/>
  <c r="G55" i="15"/>
  <c r="F55" i="15"/>
  <c r="G54" i="15"/>
  <c r="F54" i="15"/>
  <c r="G53" i="15"/>
  <c r="F53" i="15"/>
  <c r="G52" i="15"/>
  <c r="F52" i="15"/>
  <c r="G51" i="15"/>
  <c r="F51" i="15"/>
  <c r="G50" i="15"/>
  <c r="F50" i="15"/>
  <c r="G49" i="15"/>
  <c r="F49" i="15"/>
  <c r="G48" i="15"/>
  <c r="F48" i="15"/>
  <c r="G47" i="15"/>
  <c r="F47" i="15"/>
  <c r="G46" i="15"/>
  <c r="F46" i="15"/>
  <c r="G45" i="15"/>
  <c r="F45" i="15"/>
  <c r="G44" i="15"/>
  <c r="F44" i="15"/>
  <c r="G43" i="15"/>
  <c r="F43" i="15"/>
  <c r="G42" i="15"/>
  <c r="F42" i="15"/>
  <c r="G41" i="15"/>
  <c r="F41" i="15"/>
  <c r="G40" i="15"/>
  <c r="F40" i="15"/>
  <c r="G39" i="15"/>
  <c r="F39" i="15"/>
  <c r="G38" i="15"/>
  <c r="F38" i="15"/>
  <c r="G37" i="15"/>
  <c r="F37" i="15"/>
  <c r="G36" i="15"/>
  <c r="F36" i="15"/>
  <c r="G35" i="15"/>
  <c r="F35" i="15"/>
  <c r="G34" i="15"/>
  <c r="F34" i="15"/>
  <c r="G33" i="15"/>
  <c r="F33" i="15"/>
  <c r="G17" i="15"/>
  <c r="F17" i="15"/>
  <c r="G16" i="15"/>
  <c r="F16" i="15"/>
  <c r="G15" i="15"/>
  <c r="F15" i="15"/>
  <c r="G14" i="15"/>
  <c r="F14" i="15"/>
  <c r="G13" i="15"/>
  <c r="F13" i="15"/>
  <c r="G12" i="15"/>
  <c r="F12" i="15"/>
  <c r="G151" i="7"/>
  <c r="F151" i="7"/>
  <c r="G150" i="7"/>
  <c r="F150" i="7"/>
  <c r="G149" i="7"/>
  <c r="F149" i="7"/>
  <c r="G148" i="7"/>
  <c r="F148" i="7"/>
  <c r="G146" i="7"/>
  <c r="F146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17" i="7"/>
  <c r="F17" i="7"/>
  <c r="G16" i="7"/>
  <c r="F16" i="7"/>
  <c r="G15" i="7"/>
  <c r="F15" i="7"/>
  <c r="G14" i="7"/>
  <c r="F14" i="7"/>
  <c r="G13" i="7"/>
  <c r="F13" i="7"/>
  <c r="G12" i="7"/>
  <c r="F12" i="7"/>
  <c r="G151" i="8"/>
  <c r="F151" i="8"/>
  <c r="G150" i="8"/>
  <c r="F150" i="8"/>
  <c r="G149" i="8"/>
  <c r="F149" i="8"/>
  <c r="G148" i="8"/>
  <c r="F148" i="8"/>
  <c r="G146" i="8"/>
  <c r="F146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17" i="8"/>
  <c r="F17" i="8"/>
  <c r="G16" i="8"/>
  <c r="F16" i="8"/>
  <c r="G15" i="8"/>
  <c r="F15" i="8"/>
  <c r="G14" i="8"/>
  <c r="F14" i="8"/>
  <c r="G13" i="8"/>
  <c r="F13" i="8"/>
  <c r="G12" i="8"/>
  <c r="F12" i="8"/>
  <c r="G151" i="14"/>
  <c r="F151" i="14"/>
  <c r="G150" i="14"/>
  <c r="F150" i="14"/>
  <c r="G149" i="14"/>
  <c r="F149" i="14"/>
  <c r="G148" i="14"/>
  <c r="F148" i="14"/>
  <c r="G146" i="14"/>
  <c r="F146" i="14"/>
  <c r="G78" i="14"/>
  <c r="F78" i="14"/>
  <c r="G77" i="14"/>
  <c r="F77" i="14"/>
  <c r="G76" i="14"/>
  <c r="F76" i="14"/>
  <c r="G75" i="14"/>
  <c r="F75" i="14"/>
  <c r="G74" i="14"/>
  <c r="F74" i="14"/>
  <c r="G73" i="14"/>
  <c r="F73" i="14"/>
  <c r="G72" i="14"/>
  <c r="F72" i="14"/>
  <c r="G71" i="14"/>
  <c r="F71" i="14"/>
  <c r="G70" i="14"/>
  <c r="F70" i="14"/>
  <c r="G69" i="14"/>
  <c r="F69" i="14"/>
  <c r="G68" i="14"/>
  <c r="F68" i="14"/>
  <c r="G67" i="14"/>
  <c r="F67" i="14"/>
  <c r="G66" i="14"/>
  <c r="F66" i="14"/>
  <c r="G65" i="14"/>
  <c r="F65" i="14"/>
  <c r="G64" i="14"/>
  <c r="F64" i="14"/>
  <c r="G63" i="14"/>
  <c r="F63" i="14"/>
  <c r="G62" i="14"/>
  <c r="F62" i="14"/>
  <c r="G61" i="14"/>
  <c r="F61" i="14"/>
  <c r="G60" i="14"/>
  <c r="F60" i="14"/>
  <c r="G59" i="14"/>
  <c r="F59" i="14"/>
  <c r="G58" i="14"/>
  <c r="F58" i="14"/>
  <c r="G57" i="14"/>
  <c r="F57" i="14"/>
  <c r="G56" i="14"/>
  <c r="F56" i="14"/>
  <c r="G55" i="14"/>
  <c r="F55" i="14"/>
  <c r="G54" i="14"/>
  <c r="F54" i="14"/>
  <c r="G53" i="14"/>
  <c r="F53" i="14"/>
  <c r="G52" i="14"/>
  <c r="F52" i="14"/>
  <c r="G51" i="14"/>
  <c r="F51" i="14"/>
  <c r="G50" i="14"/>
  <c r="F50" i="14"/>
  <c r="G49" i="14"/>
  <c r="F49" i="14"/>
  <c r="G48" i="14"/>
  <c r="F48" i="14"/>
  <c r="G47" i="14"/>
  <c r="F47" i="14"/>
  <c r="G46" i="14"/>
  <c r="F46" i="14"/>
  <c r="G45" i="14"/>
  <c r="F45" i="14"/>
  <c r="G44" i="14"/>
  <c r="F44" i="14"/>
  <c r="G43" i="14"/>
  <c r="F43" i="14"/>
  <c r="G42" i="14"/>
  <c r="F42" i="14"/>
  <c r="G41" i="14"/>
  <c r="F41" i="14"/>
  <c r="G40" i="14"/>
  <c r="F40" i="14"/>
  <c r="G39" i="14"/>
  <c r="F39" i="14"/>
  <c r="G38" i="14"/>
  <c r="F38" i="14"/>
  <c r="G37" i="14"/>
  <c r="F37" i="14"/>
  <c r="G36" i="14"/>
  <c r="F36" i="14"/>
  <c r="G35" i="14"/>
  <c r="F35" i="14"/>
  <c r="G34" i="14"/>
  <c r="F34" i="14"/>
  <c r="G33" i="14"/>
  <c r="F33" i="14"/>
  <c r="G17" i="14"/>
  <c r="F17" i="14"/>
  <c r="G16" i="14"/>
  <c r="F16" i="14"/>
  <c r="G15" i="14"/>
  <c r="F15" i="14"/>
  <c r="G14" i="14"/>
  <c r="F14" i="14"/>
  <c r="G13" i="14"/>
  <c r="F13" i="14"/>
  <c r="G12" i="14"/>
  <c r="F12" i="14"/>
  <c r="F13" i="1"/>
  <c r="G13" i="1"/>
  <c r="F14" i="1"/>
  <c r="G14" i="1"/>
  <c r="F15" i="1"/>
  <c r="G15" i="1"/>
  <c r="F16" i="1"/>
  <c r="G16" i="1"/>
  <c r="F17" i="1"/>
  <c r="G17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146" i="1"/>
  <c r="G146" i="1"/>
  <c r="F148" i="1"/>
  <c r="G148" i="1"/>
  <c r="F149" i="1"/>
  <c r="G149" i="1"/>
  <c r="F150" i="1"/>
  <c r="G150" i="1"/>
  <c r="F151" i="1"/>
  <c r="G151" i="1"/>
  <c r="G12" i="1"/>
  <c r="F12" i="1"/>
  <c r="E143" i="21"/>
  <c r="D143" i="21"/>
  <c r="C143" i="21"/>
  <c r="G143" i="21" s="1"/>
  <c r="E137" i="21"/>
  <c r="D137" i="21"/>
  <c r="C137" i="21"/>
  <c r="E107" i="21"/>
  <c r="D107" i="21"/>
  <c r="C107" i="21"/>
  <c r="G107" i="21" s="1"/>
  <c r="E106" i="21"/>
  <c r="D106" i="21"/>
  <c r="C106" i="21"/>
  <c r="E21" i="21"/>
  <c r="D21" i="21"/>
  <c r="C21" i="21"/>
  <c r="G21" i="21" s="1"/>
  <c r="E18" i="21"/>
  <c r="D18" i="21"/>
  <c r="C18" i="21"/>
  <c r="C151" i="20"/>
  <c r="E151" i="20"/>
  <c r="D151" i="20"/>
  <c r="C145" i="20"/>
  <c r="E145" i="20"/>
  <c r="D145" i="20"/>
  <c r="C115" i="20"/>
  <c r="E115" i="20"/>
  <c r="D115" i="20"/>
  <c r="C114" i="20"/>
  <c r="E114" i="20"/>
  <c r="D114" i="20"/>
  <c r="F114" i="20" s="1"/>
  <c r="C29" i="20"/>
  <c r="E29" i="20"/>
  <c r="D29" i="20"/>
  <c r="C26" i="20"/>
  <c r="E26" i="20"/>
  <c r="D26" i="20"/>
  <c r="E143" i="19"/>
  <c r="C143" i="19"/>
  <c r="D143" i="19"/>
  <c r="E137" i="19"/>
  <c r="C137" i="19"/>
  <c r="D137" i="19"/>
  <c r="E107" i="19"/>
  <c r="C107" i="19"/>
  <c r="D107" i="19"/>
  <c r="E106" i="19"/>
  <c r="C106" i="19"/>
  <c r="D106" i="19"/>
  <c r="E21" i="19"/>
  <c r="C21" i="19"/>
  <c r="D21" i="19"/>
  <c r="E18" i="19"/>
  <c r="C18" i="19"/>
  <c r="D18" i="19"/>
  <c r="D143" i="18"/>
  <c r="E143" i="18"/>
  <c r="C143" i="18"/>
  <c r="D137" i="18"/>
  <c r="E137" i="18"/>
  <c r="C137" i="18"/>
  <c r="D107" i="18"/>
  <c r="E107" i="18"/>
  <c r="C107" i="18"/>
  <c r="D106" i="18"/>
  <c r="E106" i="18"/>
  <c r="C106" i="18"/>
  <c r="D21" i="18"/>
  <c r="E21" i="18"/>
  <c r="C21" i="18"/>
  <c r="G21" i="18" s="1"/>
  <c r="D18" i="18"/>
  <c r="E18" i="18"/>
  <c r="C18" i="18"/>
  <c r="E143" i="17"/>
  <c r="D143" i="17"/>
  <c r="C143" i="17"/>
  <c r="E137" i="17"/>
  <c r="D137" i="17"/>
  <c r="C137" i="17"/>
  <c r="E107" i="17"/>
  <c r="D107" i="17"/>
  <c r="C107" i="17"/>
  <c r="G107" i="17" s="1"/>
  <c r="E106" i="17"/>
  <c r="D106" i="17"/>
  <c r="C106" i="17"/>
  <c r="E21" i="17"/>
  <c r="D21" i="17"/>
  <c r="C21" i="17"/>
  <c r="E18" i="17"/>
  <c r="D18" i="17"/>
  <c r="C18" i="17"/>
  <c r="C143" i="16"/>
  <c r="E143" i="16"/>
  <c r="D143" i="16"/>
  <c r="C137" i="16"/>
  <c r="E137" i="16"/>
  <c r="D137" i="16"/>
  <c r="C107" i="16"/>
  <c r="E107" i="16"/>
  <c r="D107" i="16"/>
  <c r="C106" i="16"/>
  <c r="E106" i="16"/>
  <c r="D106" i="16"/>
  <c r="C21" i="16"/>
  <c r="E21" i="16"/>
  <c r="D21" i="16"/>
  <c r="C18" i="16"/>
  <c r="E18" i="16"/>
  <c r="D18" i="16"/>
  <c r="E143" i="15"/>
  <c r="C143" i="15"/>
  <c r="D143" i="15"/>
  <c r="E137" i="15"/>
  <c r="C137" i="15"/>
  <c r="D137" i="15"/>
  <c r="E107" i="15"/>
  <c r="C107" i="15"/>
  <c r="D107" i="15"/>
  <c r="E106" i="15"/>
  <c r="C106" i="15"/>
  <c r="D106" i="15"/>
  <c r="E21" i="15"/>
  <c r="C21" i="15"/>
  <c r="D21" i="15"/>
  <c r="E18" i="15"/>
  <c r="C18" i="15"/>
  <c r="D18" i="15"/>
  <c r="E143" i="14"/>
  <c r="C143" i="14"/>
  <c r="E137" i="14"/>
  <c r="C137" i="14"/>
  <c r="E107" i="14"/>
  <c r="C107" i="14"/>
  <c r="E106" i="14"/>
  <c r="C106" i="14"/>
  <c r="E21" i="14"/>
  <c r="C21" i="14"/>
  <c r="E18" i="14"/>
  <c r="C18" i="14"/>
  <c r="D143" i="14"/>
  <c r="D137" i="14"/>
  <c r="D107" i="14"/>
  <c r="D106" i="14"/>
  <c r="D21" i="14"/>
  <c r="D18" i="14"/>
  <c r="E143" i="13"/>
  <c r="D143" i="13"/>
  <c r="C143" i="13"/>
  <c r="G143" i="13" s="1"/>
  <c r="E137" i="13"/>
  <c r="D137" i="13"/>
  <c r="C137" i="13"/>
  <c r="E107" i="13"/>
  <c r="D107" i="13"/>
  <c r="C107" i="13"/>
  <c r="G107" i="13" s="1"/>
  <c r="E106" i="13"/>
  <c r="D106" i="13"/>
  <c r="C106" i="13"/>
  <c r="E21" i="13"/>
  <c r="D21" i="13"/>
  <c r="C21" i="13"/>
  <c r="G21" i="13" s="1"/>
  <c r="E18" i="13"/>
  <c r="D18" i="13"/>
  <c r="C18" i="13"/>
  <c r="E143" i="4"/>
  <c r="D143" i="4"/>
  <c r="C143" i="4"/>
  <c r="E137" i="4"/>
  <c r="D137" i="4"/>
  <c r="C137" i="4"/>
  <c r="E143" i="11"/>
  <c r="D143" i="11"/>
  <c r="C143" i="11"/>
  <c r="E137" i="11"/>
  <c r="D137" i="11"/>
  <c r="C137" i="11"/>
  <c r="E143" i="3"/>
  <c r="D143" i="3"/>
  <c r="C143" i="3"/>
  <c r="E137" i="3"/>
  <c r="D137" i="3"/>
  <c r="C137" i="3"/>
  <c r="C143" i="10"/>
  <c r="E143" i="10"/>
  <c r="D143" i="10"/>
  <c r="C137" i="10"/>
  <c r="E137" i="10"/>
  <c r="D137" i="10"/>
  <c r="E143" i="9"/>
  <c r="D143" i="9"/>
  <c r="C143" i="9"/>
  <c r="G143" i="9" s="1"/>
  <c r="E137" i="9"/>
  <c r="D137" i="9"/>
  <c r="C137" i="9"/>
  <c r="E143" i="2"/>
  <c r="D143" i="2"/>
  <c r="C143" i="2"/>
  <c r="G143" i="2" s="1"/>
  <c r="E137" i="2"/>
  <c r="D137" i="2"/>
  <c r="C137" i="2"/>
  <c r="E143" i="7"/>
  <c r="D143" i="7"/>
  <c r="C143" i="7"/>
  <c r="G143" i="7" s="1"/>
  <c r="E137" i="7"/>
  <c r="D137" i="7"/>
  <c r="C137" i="7"/>
  <c r="E143" i="8"/>
  <c r="D143" i="8"/>
  <c r="C143" i="8"/>
  <c r="E137" i="8"/>
  <c r="D137" i="8"/>
  <c r="C137" i="8"/>
  <c r="E143" i="1"/>
  <c r="D143" i="1"/>
  <c r="C143" i="1"/>
  <c r="E137" i="1"/>
  <c r="D137" i="1"/>
  <c r="C137" i="1"/>
  <c r="C18" i="2"/>
  <c r="E107" i="11"/>
  <c r="D107" i="11"/>
  <c r="C107" i="11"/>
  <c r="E106" i="11"/>
  <c r="D106" i="11"/>
  <c r="C106" i="11"/>
  <c r="E21" i="11"/>
  <c r="D21" i="11"/>
  <c r="C21" i="11"/>
  <c r="E18" i="11"/>
  <c r="D18" i="11"/>
  <c r="C18" i="11"/>
  <c r="C107" i="10"/>
  <c r="E107" i="10"/>
  <c r="D107" i="10"/>
  <c r="C106" i="10"/>
  <c r="E106" i="10"/>
  <c r="D106" i="10"/>
  <c r="C21" i="10"/>
  <c r="E21" i="10"/>
  <c r="D21" i="10"/>
  <c r="C18" i="10"/>
  <c r="E18" i="10"/>
  <c r="D18" i="10"/>
  <c r="E107" i="9"/>
  <c r="D107" i="9"/>
  <c r="C107" i="9"/>
  <c r="E106" i="9"/>
  <c r="D106" i="9"/>
  <c r="C106" i="9"/>
  <c r="E21" i="9"/>
  <c r="D21" i="9"/>
  <c r="C21" i="9"/>
  <c r="E18" i="9"/>
  <c r="D18" i="9"/>
  <c r="C18" i="9"/>
  <c r="E107" i="8"/>
  <c r="D107" i="8"/>
  <c r="C107" i="8"/>
  <c r="E106" i="8"/>
  <c r="D106" i="8"/>
  <c r="C106" i="8"/>
  <c r="E21" i="8"/>
  <c r="D21" i="8"/>
  <c r="C21" i="8"/>
  <c r="E18" i="8"/>
  <c r="D18" i="8"/>
  <c r="C18" i="8"/>
  <c r="F18" i="8" s="1"/>
  <c r="E107" i="7"/>
  <c r="D107" i="7"/>
  <c r="C107" i="7"/>
  <c r="E106" i="7"/>
  <c r="D106" i="7"/>
  <c r="C106" i="7"/>
  <c r="E21" i="7"/>
  <c r="D21" i="7"/>
  <c r="C21" i="7"/>
  <c r="E18" i="7"/>
  <c r="D18" i="7"/>
  <c r="C18" i="7"/>
  <c r="E107" i="4"/>
  <c r="D107" i="4"/>
  <c r="C107" i="4"/>
  <c r="E106" i="4"/>
  <c r="D106" i="4"/>
  <c r="C106" i="4"/>
  <c r="E21" i="4"/>
  <c r="D21" i="4"/>
  <c r="C21" i="4"/>
  <c r="E18" i="4"/>
  <c r="D18" i="4"/>
  <c r="C18" i="4"/>
  <c r="C22" i="4" s="1"/>
  <c r="C144" i="4" s="1"/>
  <c r="E107" i="3"/>
  <c r="D107" i="3"/>
  <c r="C107" i="3"/>
  <c r="E106" i="3"/>
  <c r="D106" i="3"/>
  <c r="C106" i="3"/>
  <c r="E21" i="3"/>
  <c r="E110" i="3" s="1"/>
  <c r="D21" i="3"/>
  <c r="D110" i="3" s="1"/>
  <c r="C21" i="3"/>
  <c r="C110" i="3" s="1"/>
  <c r="G110" i="3" s="1"/>
  <c r="E18" i="3"/>
  <c r="E22" i="3" s="1"/>
  <c r="E144" i="3" s="1"/>
  <c r="D18" i="3"/>
  <c r="D23" i="3" s="1"/>
  <c r="D24" i="3" s="1"/>
  <c r="D145" i="3" s="1"/>
  <c r="C18" i="3"/>
  <c r="C22" i="3" s="1"/>
  <c r="E107" i="2"/>
  <c r="D107" i="2"/>
  <c r="C107" i="2"/>
  <c r="E106" i="2"/>
  <c r="D106" i="2"/>
  <c r="C106" i="2"/>
  <c r="G106" i="2" s="1"/>
  <c r="E21" i="2"/>
  <c r="D21" i="2"/>
  <c r="C21" i="2"/>
  <c r="E18" i="2"/>
  <c r="D18" i="2"/>
  <c r="C25" i="2"/>
  <c r="E107" i="1"/>
  <c r="D107" i="1"/>
  <c r="E106" i="1"/>
  <c r="D106" i="1"/>
  <c r="C106" i="1"/>
  <c r="E21" i="1"/>
  <c r="D21" i="1"/>
  <c r="C21" i="1"/>
  <c r="E18" i="1"/>
  <c r="E22" i="1" s="1"/>
  <c r="E144" i="1" s="1"/>
  <c r="D18" i="1"/>
  <c r="C18" i="1"/>
  <c r="G21" i="11" l="1"/>
  <c r="G21" i="7"/>
  <c r="F107" i="8"/>
  <c r="G21" i="8"/>
  <c r="G143" i="3"/>
  <c r="G107" i="15"/>
  <c r="G21" i="19"/>
  <c r="G143" i="19"/>
  <c r="G106" i="13"/>
  <c r="G18" i="13"/>
  <c r="G143" i="11"/>
  <c r="G106" i="11"/>
  <c r="G115" i="20"/>
  <c r="G107" i="3"/>
  <c r="F143" i="3"/>
  <c r="F107" i="3"/>
  <c r="G106" i="3"/>
  <c r="G18" i="21"/>
  <c r="G107" i="9"/>
  <c r="G18" i="9"/>
  <c r="G106" i="9"/>
  <c r="G106" i="17"/>
  <c r="G18" i="17"/>
  <c r="G107" i="2"/>
  <c r="G107" i="16"/>
  <c r="G143" i="16"/>
  <c r="G21" i="16"/>
  <c r="G21" i="15"/>
  <c r="F143" i="15"/>
  <c r="F21" i="15"/>
  <c r="G18" i="15"/>
  <c r="F18" i="15"/>
  <c r="G107" i="7"/>
  <c r="F143" i="8"/>
  <c r="G18" i="8"/>
  <c r="G107" i="14"/>
  <c r="F106" i="1"/>
  <c r="G21" i="4"/>
  <c r="G143" i="4"/>
  <c r="G106" i="4"/>
  <c r="G107" i="4"/>
  <c r="F18" i="4"/>
  <c r="F143" i="4"/>
  <c r="G18" i="4"/>
  <c r="F106" i="4"/>
  <c r="E23" i="4"/>
  <c r="E24" i="4" s="1"/>
  <c r="E145" i="4" s="1"/>
  <c r="F107" i="4"/>
  <c r="F21" i="4"/>
  <c r="G106" i="19"/>
  <c r="G107" i="19"/>
  <c r="G18" i="19"/>
  <c r="F107" i="19"/>
  <c r="F21" i="19"/>
  <c r="F18" i="19"/>
  <c r="F143" i="19"/>
  <c r="F106" i="19"/>
  <c r="F18" i="13"/>
  <c r="F143" i="13"/>
  <c r="F106" i="13"/>
  <c r="F107" i="13"/>
  <c r="F21" i="13"/>
  <c r="G107" i="11"/>
  <c r="F18" i="11"/>
  <c r="G18" i="11"/>
  <c r="F143" i="11"/>
  <c r="F106" i="11"/>
  <c r="F107" i="11"/>
  <c r="F21" i="11"/>
  <c r="G29" i="20"/>
  <c r="G114" i="20"/>
  <c r="G151" i="20"/>
  <c r="G26" i="20"/>
  <c r="F115" i="20"/>
  <c r="F29" i="20"/>
  <c r="F26" i="20"/>
  <c r="F151" i="20"/>
  <c r="C142" i="3"/>
  <c r="D142" i="3"/>
  <c r="F18" i="3"/>
  <c r="G18" i="18"/>
  <c r="G143" i="18"/>
  <c r="G106" i="18"/>
  <c r="G107" i="18"/>
  <c r="F21" i="18"/>
  <c r="F18" i="18"/>
  <c r="F143" i="18"/>
  <c r="F106" i="18"/>
  <c r="F107" i="18"/>
  <c r="F106" i="3"/>
  <c r="E19" i="3"/>
  <c r="E20" i="3" s="1"/>
  <c r="E142" i="3"/>
  <c r="F21" i="3"/>
  <c r="F110" i="3"/>
  <c r="G21" i="3"/>
  <c r="C144" i="3"/>
  <c r="G18" i="3"/>
  <c r="G106" i="21"/>
  <c r="F21" i="21"/>
  <c r="F18" i="21"/>
  <c r="F143" i="21"/>
  <c r="F106" i="21"/>
  <c r="F107" i="21"/>
  <c r="G21" i="9"/>
  <c r="F107" i="9"/>
  <c r="F21" i="9"/>
  <c r="F18" i="9"/>
  <c r="F143" i="9"/>
  <c r="F106" i="9"/>
  <c r="G21" i="17"/>
  <c r="G143" i="17"/>
  <c r="F21" i="17"/>
  <c r="F18" i="17"/>
  <c r="F143" i="17"/>
  <c r="F106" i="17"/>
  <c r="F107" i="17"/>
  <c r="G18" i="2"/>
  <c r="F143" i="2"/>
  <c r="F18" i="2"/>
  <c r="D23" i="2"/>
  <c r="D24" i="2" s="1"/>
  <c r="D145" i="2" s="1"/>
  <c r="E23" i="2"/>
  <c r="E24" i="2" s="1"/>
  <c r="E145" i="2" s="1"/>
  <c r="G21" i="2"/>
  <c r="F106" i="2"/>
  <c r="F107" i="2"/>
  <c r="F21" i="2"/>
  <c r="G18" i="16"/>
  <c r="G106" i="16"/>
  <c r="F107" i="16"/>
  <c r="F21" i="16"/>
  <c r="F18" i="16"/>
  <c r="F143" i="16"/>
  <c r="F106" i="16"/>
  <c r="G143" i="15"/>
  <c r="G106" i="15"/>
  <c r="F106" i="15"/>
  <c r="F107" i="15"/>
  <c r="G106" i="7"/>
  <c r="G18" i="7"/>
  <c r="F143" i="7"/>
  <c r="F18" i="7"/>
  <c r="F106" i="7"/>
  <c r="F107" i="7"/>
  <c r="F21" i="7"/>
  <c r="G143" i="8"/>
  <c r="G106" i="8"/>
  <c r="G107" i="8"/>
  <c r="F21" i="8"/>
  <c r="F106" i="8"/>
  <c r="G21" i="14"/>
  <c r="G18" i="14"/>
  <c r="G106" i="14"/>
  <c r="G143" i="14"/>
  <c r="F21" i="1"/>
  <c r="F143" i="1"/>
  <c r="G21" i="1"/>
  <c r="C23" i="1"/>
  <c r="C24" i="1" s="1"/>
  <c r="C145" i="1" s="1"/>
  <c r="F18" i="14"/>
  <c r="F143" i="14"/>
  <c r="F106" i="14"/>
  <c r="F107" i="14"/>
  <c r="F21" i="14"/>
  <c r="G18" i="1"/>
  <c r="G106" i="1"/>
  <c r="F18" i="1"/>
  <c r="G143" i="1"/>
  <c r="G18" i="10"/>
  <c r="F18" i="10"/>
  <c r="G21" i="10"/>
  <c r="F21" i="10"/>
  <c r="G106" i="10"/>
  <c r="F106" i="10"/>
  <c r="G107" i="10"/>
  <c r="F107" i="10"/>
  <c r="G143" i="10"/>
  <c r="F143" i="10"/>
  <c r="F107" i="1"/>
  <c r="G107" i="1"/>
  <c r="D23" i="4"/>
  <c r="D24" i="4" s="1"/>
  <c r="D145" i="4" s="1"/>
  <c r="D25" i="4"/>
  <c r="C110" i="4"/>
  <c r="C125" i="4" s="1"/>
  <c r="C142" i="4"/>
  <c r="D110" i="4"/>
  <c r="D128" i="4" s="1"/>
  <c r="D142" i="4"/>
  <c r="E110" i="4"/>
  <c r="E131" i="4" s="1"/>
  <c r="E142" i="4"/>
  <c r="C25" i="21"/>
  <c r="C23" i="21"/>
  <c r="C22" i="21"/>
  <c r="C19" i="21"/>
  <c r="D25" i="21"/>
  <c r="D23" i="21"/>
  <c r="D24" i="21" s="1"/>
  <c r="D145" i="21" s="1"/>
  <c r="D22" i="21"/>
  <c r="D144" i="21" s="1"/>
  <c r="D19" i="21"/>
  <c r="D20" i="21" s="1"/>
  <c r="E25" i="21"/>
  <c r="E23" i="21"/>
  <c r="E24" i="21" s="1"/>
  <c r="E145" i="21" s="1"/>
  <c r="E22" i="21"/>
  <c r="E144" i="21" s="1"/>
  <c r="E19" i="21"/>
  <c r="E20" i="21" s="1"/>
  <c r="C142" i="21"/>
  <c r="C110" i="21"/>
  <c r="D142" i="21"/>
  <c r="D110" i="21"/>
  <c r="E142" i="21"/>
  <c r="E110" i="21"/>
  <c r="D33" i="20"/>
  <c r="D31" i="20"/>
  <c r="D32" i="20" s="1"/>
  <c r="D153" i="20" s="1"/>
  <c r="D30" i="20"/>
  <c r="D152" i="20" s="1"/>
  <c r="D27" i="20"/>
  <c r="D28" i="20" s="1"/>
  <c r="E33" i="20"/>
  <c r="E31" i="20"/>
  <c r="E32" i="20" s="1"/>
  <c r="E153" i="20" s="1"/>
  <c r="E30" i="20"/>
  <c r="E152" i="20" s="1"/>
  <c r="E27" i="20"/>
  <c r="E28" i="20" s="1"/>
  <c r="C33" i="20"/>
  <c r="C31" i="20"/>
  <c r="C30" i="20"/>
  <c r="C27" i="20"/>
  <c r="D150" i="20"/>
  <c r="D118" i="20"/>
  <c r="E150" i="20"/>
  <c r="E118" i="20"/>
  <c r="C150" i="20"/>
  <c r="C118" i="20"/>
  <c r="D25" i="19"/>
  <c r="D23" i="19"/>
  <c r="D24" i="19" s="1"/>
  <c r="D145" i="19" s="1"/>
  <c r="D22" i="19"/>
  <c r="D144" i="19" s="1"/>
  <c r="D19" i="19"/>
  <c r="D20" i="19" s="1"/>
  <c r="C25" i="19"/>
  <c r="C23" i="19"/>
  <c r="C22" i="19"/>
  <c r="C19" i="19"/>
  <c r="E25" i="19"/>
  <c r="E23" i="19"/>
  <c r="E24" i="19" s="1"/>
  <c r="E145" i="19" s="1"/>
  <c r="E22" i="19"/>
  <c r="E144" i="19" s="1"/>
  <c r="E19" i="19"/>
  <c r="E20" i="19" s="1"/>
  <c r="D142" i="19"/>
  <c r="D110" i="19"/>
  <c r="C142" i="19"/>
  <c r="C110" i="19"/>
  <c r="E142" i="19"/>
  <c r="E110" i="19"/>
  <c r="C25" i="18"/>
  <c r="C23" i="18"/>
  <c r="C22" i="18"/>
  <c r="C19" i="18"/>
  <c r="E25" i="18"/>
  <c r="E23" i="18"/>
  <c r="E24" i="18" s="1"/>
  <c r="E145" i="18" s="1"/>
  <c r="E22" i="18"/>
  <c r="E144" i="18" s="1"/>
  <c r="E19" i="18"/>
  <c r="E20" i="18" s="1"/>
  <c r="D25" i="18"/>
  <c r="D23" i="18"/>
  <c r="D24" i="18" s="1"/>
  <c r="D145" i="18" s="1"/>
  <c r="D22" i="18"/>
  <c r="D144" i="18" s="1"/>
  <c r="D19" i="18"/>
  <c r="D20" i="18" s="1"/>
  <c r="C142" i="18"/>
  <c r="C110" i="18"/>
  <c r="E142" i="18"/>
  <c r="E110" i="18"/>
  <c r="D142" i="18"/>
  <c r="D110" i="18"/>
  <c r="C80" i="2"/>
  <c r="C82" i="2" s="1"/>
  <c r="C138" i="2"/>
  <c r="C110" i="2"/>
  <c r="C130" i="2" s="1"/>
  <c r="C142" i="2"/>
  <c r="D110" i="2"/>
  <c r="D116" i="2" s="1"/>
  <c r="D142" i="2"/>
  <c r="E110" i="2"/>
  <c r="E115" i="2" s="1"/>
  <c r="E142" i="2"/>
  <c r="C110" i="1"/>
  <c r="C133" i="1" s="1"/>
  <c r="C142" i="1"/>
  <c r="D110" i="1"/>
  <c r="D133" i="1" s="1"/>
  <c r="D142" i="1"/>
  <c r="E110" i="1"/>
  <c r="E130" i="1" s="1"/>
  <c r="E142" i="1"/>
  <c r="C25" i="17"/>
  <c r="C23" i="17"/>
  <c r="C22" i="17"/>
  <c r="C19" i="17"/>
  <c r="D25" i="17"/>
  <c r="D23" i="17"/>
  <c r="D24" i="17" s="1"/>
  <c r="D145" i="17" s="1"/>
  <c r="D22" i="17"/>
  <c r="D144" i="17" s="1"/>
  <c r="D19" i="17"/>
  <c r="D20" i="17" s="1"/>
  <c r="E25" i="17"/>
  <c r="E23" i="17"/>
  <c r="E24" i="17" s="1"/>
  <c r="E145" i="17" s="1"/>
  <c r="E22" i="17"/>
  <c r="E144" i="17" s="1"/>
  <c r="E19" i="17"/>
  <c r="E20" i="17" s="1"/>
  <c r="C142" i="17"/>
  <c r="C110" i="17"/>
  <c r="D142" i="17"/>
  <c r="D110" i="17"/>
  <c r="E142" i="17"/>
  <c r="E110" i="17"/>
  <c r="D25" i="16"/>
  <c r="D23" i="16"/>
  <c r="D24" i="16" s="1"/>
  <c r="D145" i="16" s="1"/>
  <c r="D22" i="16"/>
  <c r="D144" i="16" s="1"/>
  <c r="D19" i="16"/>
  <c r="D20" i="16" s="1"/>
  <c r="E25" i="16"/>
  <c r="E23" i="16"/>
  <c r="E24" i="16" s="1"/>
  <c r="E145" i="16" s="1"/>
  <c r="E22" i="16"/>
  <c r="E144" i="16" s="1"/>
  <c r="E19" i="16"/>
  <c r="E20" i="16" s="1"/>
  <c r="C25" i="16"/>
  <c r="C23" i="16"/>
  <c r="C22" i="16"/>
  <c r="C19" i="16"/>
  <c r="D142" i="16"/>
  <c r="D110" i="16"/>
  <c r="E142" i="16"/>
  <c r="E110" i="16"/>
  <c r="C142" i="16"/>
  <c r="C110" i="16"/>
  <c r="D25" i="15"/>
  <c r="D23" i="15"/>
  <c r="D24" i="15" s="1"/>
  <c r="D145" i="15" s="1"/>
  <c r="D22" i="15"/>
  <c r="D144" i="15" s="1"/>
  <c r="D19" i="15"/>
  <c r="D20" i="15" s="1"/>
  <c r="C25" i="15"/>
  <c r="C23" i="15"/>
  <c r="C22" i="15"/>
  <c r="C19" i="15"/>
  <c r="E25" i="15"/>
  <c r="E23" i="15"/>
  <c r="E24" i="15" s="1"/>
  <c r="E145" i="15" s="1"/>
  <c r="E22" i="15"/>
  <c r="E144" i="15" s="1"/>
  <c r="E19" i="15"/>
  <c r="E20" i="15" s="1"/>
  <c r="D142" i="15"/>
  <c r="D110" i="15"/>
  <c r="C142" i="15"/>
  <c r="C110" i="15"/>
  <c r="E142" i="15"/>
  <c r="E110" i="15"/>
  <c r="C25" i="14"/>
  <c r="C23" i="14"/>
  <c r="C22" i="14"/>
  <c r="C19" i="14"/>
  <c r="E25" i="14"/>
  <c r="E23" i="14"/>
  <c r="E24" i="14" s="1"/>
  <c r="E145" i="14" s="1"/>
  <c r="E22" i="14"/>
  <c r="E144" i="14" s="1"/>
  <c r="E19" i="14"/>
  <c r="E20" i="14" s="1"/>
  <c r="C142" i="14"/>
  <c r="C110" i="14"/>
  <c r="E142" i="14"/>
  <c r="E110" i="14"/>
  <c r="D25" i="14"/>
  <c r="D23" i="14"/>
  <c r="D24" i="14" s="1"/>
  <c r="D145" i="14" s="1"/>
  <c r="D22" i="14"/>
  <c r="D144" i="14" s="1"/>
  <c r="D19" i="14"/>
  <c r="D20" i="14" s="1"/>
  <c r="D142" i="14"/>
  <c r="D110" i="14"/>
  <c r="C25" i="13"/>
  <c r="C23" i="13"/>
  <c r="C22" i="13"/>
  <c r="C19" i="13"/>
  <c r="D25" i="13"/>
  <c r="D23" i="13"/>
  <c r="D24" i="13" s="1"/>
  <c r="D145" i="13" s="1"/>
  <c r="D22" i="13"/>
  <c r="D144" i="13" s="1"/>
  <c r="D19" i="13"/>
  <c r="D20" i="13" s="1"/>
  <c r="E25" i="13"/>
  <c r="E23" i="13"/>
  <c r="E24" i="13" s="1"/>
  <c r="E145" i="13" s="1"/>
  <c r="E22" i="13"/>
  <c r="E144" i="13" s="1"/>
  <c r="E19" i="13"/>
  <c r="E20" i="13" s="1"/>
  <c r="C142" i="13"/>
  <c r="C110" i="13"/>
  <c r="D142" i="13"/>
  <c r="D110" i="13"/>
  <c r="E142" i="13"/>
  <c r="E110" i="13"/>
  <c r="D110" i="10"/>
  <c r="D134" i="10" s="1"/>
  <c r="D142" i="10"/>
  <c r="E110" i="10"/>
  <c r="E127" i="10" s="1"/>
  <c r="E142" i="10"/>
  <c r="C110" i="10"/>
  <c r="C130" i="10" s="1"/>
  <c r="C142" i="10"/>
  <c r="C110" i="9"/>
  <c r="C134" i="9" s="1"/>
  <c r="C142" i="9"/>
  <c r="D110" i="9"/>
  <c r="D123" i="9" s="1"/>
  <c r="D142" i="9"/>
  <c r="E110" i="9"/>
  <c r="E123" i="9" s="1"/>
  <c r="E142" i="9"/>
  <c r="C110" i="8"/>
  <c r="C142" i="8"/>
  <c r="D110" i="8"/>
  <c r="D129" i="8" s="1"/>
  <c r="D142" i="8"/>
  <c r="E110" i="8"/>
  <c r="E129" i="8" s="1"/>
  <c r="E142" i="8"/>
  <c r="C110" i="11"/>
  <c r="C132" i="11" s="1"/>
  <c r="C142" i="11"/>
  <c r="D110" i="11"/>
  <c r="D126" i="11" s="1"/>
  <c r="D142" i="11"/>
  <c r="E110" i="11"/>
  <c r="E126" i="11" s="1"/>
  <c r="E142" i="11"/>
  <c r="C110" i="7"/>
  <c r="C125" i="7" s="1"/>
  <c r="C142" i="7"/>
  <c r="D110" i="7"/>
  <c r="D116" i="7" s="1"/>
  <c r="D142" i="7"/>
  <c r="E110" i="7"/>
  <c r="E133" i="7" s="1"/>
  <c r="E142" i="7"/>
  <c r="C25" i="11"/>
  <c r="C23" i="11"/>
  <c r="C22" i="11"/>
  <c r="C19" i="11"/>
  <c r="D25" i="11"/>
  <c r="D23" i="11"/>
  <c r="D24" i="11" s="1"/>
  <c r="D145" i="11" s="1"/>
  <c r="D22" i="11"/>
  <c r="D144" i="11" s="1"/>
  <c r="D19" i="11"/>
  <c r="D20" i="11" s="1"/>
  <c r="E25" i="11"/>
  <c r="E23" i="11"/>
  <c r="E24" i="11" s="1"/>
  <c r="E145" i="11" s="1"/>
  <c r="E22" i="11"/>
  <c r="E144" i="11" s="1"/>
  <c r="E19" i="11"/>
  <c r="E20" i="11" s="1"/>
  <c r="D131" i="11"/>
  <c r="D118" i="11"/>
  <c r="E133" i="11"/>
  <c r="E130" i="11"/>
  <c r="E129" i="11"/>
  <c r="E128" i="11"/>
  <c r="E127" i="11"/>
  <c r="E124" i="11"/>
  <c r="E121" i="11"/>
  <c r="E118" i="11"/>
  <c r="E117" i="11"/>
  <c r="E116" i="11"/>
  <c r="E115" i="11"/>
  <c r="E112" i="11"/>
  <c r="D25" i="10"/>
  <c r="D23" i="10"/>
  <c r="D24" i="10" s="1"/>
  <c r="D145" i="10" s="1"/>
  <c r="D22" i="10"/>
  <c r="D144" i="10" s="1"/>
  <c r="D19" i="10"/>
  <c r="D20" i="10" s="1"/>
  <c r="E25" i="10"/>
  <c r="E23" i="10"/>
  <c r="E24" i="10" s="1"/>
  <c r="E145" i="10" s="1"/>
  <c r="E22" i="10"/>
  <c r="E144" i="10" s="1"/>
  <c r="E19" i="10"/>
  <c r="E20" i="10" s="1"/>
  <c r="C25" i="10"/>
  <c r="C23" i="10"/>
  <c r="C22" i="10"/>
  <c r="C19" i="10"/>
  <c r="E125" i="10"/>
  <c r="E124" i="10"/>
  <c r="C25" i="9"/>
  <c r="C23" i="9"/>
  <c r="C22" i="9"/>
  <c r="C19" i="9"/>
  <c r="D25" i="9"/>
  <c r="D23" i="9"/>
  <c r="D24" i="9" s="1"/>
  <c r="D145" i="9" s="1"/>
  <c r="D22" i="9"/>
  <c r="D144" i="9" s="1"/>
  <c r="D19" i="9"/>
  <c r="D20" i="9" s="1"/>
  <c r="E25" i="9"/>
  <c r="E23" i="9"/>
  <c r="E24" i="9" s="1"/>
  <c r="E145" i="9" s="1"/>
  <c r="E22" i="9"/>
  <c r="E144" i="9" s="1"/>
  <c r="E19" i="9"/>
  <c r="E20" i="9" s="1"/>
  <c r="C112" i="9"/>
  <c r="D125" i="9"/>
  <c r="E131" i="9"/>
  <c r="E124" i="9"/>
  <c r="E119" i="9"/>
  <c r="E112" i="9"/>
  <c r="C25" i="8"/>
  <c r="C23" i="8"/>
  <c r="C22" i="8"/>
  <c r="C19" i="8"/>
  <c r="D25" i="8"/>
  <c r="D23" i="8"/>
  <c r="D24" i="8" s="1"/>
  <c r="D145" i="8" s="1"/>
  <c r="D22" i="8"/>
  <c r="D144" i="8" s="1"/>
  <c r="D19" i="8"/>
  <c r="D20" i="8" s="1"/>
  <c r="E25" i="8"/>
  <c r="E23" i="8"/>
  <c r="E24" i="8" s="1"/>
  <c r="E145" i="8" s="1"/>
  <c r="E22" i="8"/>
  <c r="E144" i="8" s="1"/>
  <c r="E19" i="8"/>
  <c r="E20" i="8" s="1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D133" i="8"/>
  <c r="D132" i="8"/>
  <c r="D131" i="8"/>
  <c r="D128" i="8"/>
  <c r="D127" i="8"/>
  <c r="D126" i="8"/>
  <c r="D125" i="8"/>
  <c r="D124" i="8"/>
  <c r="D121" i="8"/>
  <c r="D120" i="8"/>
  <c r="D119" i="8"/>
  <c r="D116" i="8"/>
  <c r="D115" i="8"/>
  <c r="D114" i="8"/>
  <c r="D113" i="8"/>
  <c r="D112" i="8"/>
  <c r="E131" i="8"/>
  <c r="E126" i="8"/>
  <c r="E125" i="8"/>
  <c r="E124" i="8"/>
  <c r="E119" i="8"/>
  <c r="E114" i="8"/>
  <c r="E113" i="8"/>
  <c r="E112" i="8"/>
  <c r="C25" i="7"/>
  <c r="C23" i="7"/>
  <c r="C22" i="7"/>
  <c r="C19" i="7"/>
  <c r="D25" i="7"/>
  <c r="D23" i="7"/>
  <c r="D24" i="7" s="1"/>
  <c r="D145" i="7" s="1"/>
  <c r="D22" i="7"/>
  <c r="D144" i="7" s="1"/>
  <c r="D19" i="7"/>
  <c r="D20" i="7" s="1"/>
  <c r="E25" i="7"/>
  <c r="E23" i="7"/>
  <c r="E24" i="7" s="1"/>
  <c r="E145" i="7" s="1"/>
  <c r="E22" i="7"/>
  <c r="E144" i="7" s="1"/>
  <c r="E19" i="7"/>
  <c r="E20" i="7" s="1"/>
  <c r="C126" i="7"/>
  <c r="C120" i="7"/>
  <c r="C119" i="7"/>
  <c r="C116" i="7"/>
  <c r="C115" i="7"/>
  <c r="C114" i="7"/>
  <c r="D126" i="7"/>
  <c r="E19" i="4"/>
  <c r="E20" i="4" s="1"/>
  <c r="D25" i="3"/>
  <c r="E23" i="3"/>
  <c r="E24" i="3" s="1"/>
  <c r="E145" i="3" s="1"/>
  <c r="D132" i="4"/>
  <c r="D123" i="4"/>
  <c r="D119" i="4"/>
  <c r="D111" i="4"/>
  <c r="D118" i="4"/>
  <c r="E132" i="4"/>
  <c r="E128" i="4"/>
  <c r="E127" i="4"/>
  <c r="E123" i="4"/>
  <c r="E125" i="4"/>
  <c r="E121" i="4"/>
  <c r="E114" i="4"/>
  <c r="C25" i="4"/>
  <c r="C23" i="4"/>
  <c r="C19" i="4"/>
  <c r="C130" i="4"/>
  <c r="C126" i="4"/>
  <c r="C117" i="4"/>
  <c r="C113" i="4"/>
  <c r="C115" i="4"/>
  <c r="C132" i="4"/>
  <c r="D22" i="4"/>
  <c r="D144" i="4" s="1"/>
  <c r="E25" i="4"/>
  <c r="D19" i="4"/>
  <c r="D20" i="4" s="1"/>
  <c r="E22" i="4"/>
  <c r="E144" i="4" s="1"/>
  <c r="D133" i="3"/>
  <c r="D129" i="3"/>
  <c r="D125" i="3"/>
  <c r="D121" i="3"/>
  <c r="D117" i="3"/>
  <c r="D113" i="3"/>
  <c r="D132" i="3"/>
  <c r="D128" i="3"/>
  <c r="D124" i="3"/>
  <c r="D120" i="3"/>
  <c r="D116" i="3"/>
  <c r="D112" i="3"/>
  <c r="D130" i="3"/>
  <c r="D122" i="3"/>
  <c r="D114" i="3"/>
  <c r="D131" i="3"/>
  <c r="D127" i="3"/>
  <c r="D123" i="3"/>
  <c r="D119" i="3"/>
  <c r="D115" i="3"/>
  <c r="D111" i="3"/>
  <c r="D134" i="3"/>
  <c r="D126" i="3"/>
  <c r="D118" i="3"/>
  <c r="E132" i="3"/>
  <c r="E128" i="3"/>
  <c r="E124" i="3"/>
  <c r="E120" i="3"/>
  <c r="E116" i="3"/>
  <c r="E112" i="3"/>
  <c r="E131" i="3"/>
  <c r="E127" i="3"/>
  <c r="E123" i="3"/>
  <c r="E119" i="3"/>
  <c r="E115" i="3"/>
  <c r="E111" i="3"/>
  <c r="E133" i="3"/>
  <c r="E125" i="3"/>
  <c r="E117" i="3"/>
  <c r="E134" i="3"/>
  <c r="E130" i="3"/>
  <c r="E126" i="3"/>
  <c r="E122" i="3"/>
  <c r="E118" i="3"/>
  <c r="E114" i="3"/>
  <c r="E129" i="3"/>
  <c r="E121" i="3"/>
  <c r="E113" i="3"/>
  <c r="C25" i="3"/>
  <c r="C23" i="3"/>
  <c r="C19" i="3"/>
  <c r="C134" i="3"/>
  <c r="C130" i="3"/>
  <c r="C126" i="3"/>
  <c r="C122" i="3"/>
  <c r="C118" i="3"/>
  <c r="C114" i="3"/>
  <c r="C133" i="3"/>
  <c r="C129" i="3"/>
  <c r="C125" i="3"/>
  <c r="C121" i="3"/>
  <c r="C117" i="3"/>
  <c r="C113" i="3"/>
  <c r="C127" i="3"/>
  <c r="C119" i="3"/>
  <c r="C111" i="3"/>
  <c r="C132" i="3"/>
  <c r="C128" i="3"/>
  <c r="C124" i="3"/>
  <c r="C120" i="3"/>
  <c r="C116" i="3"/>
  <c r="C112" i="3"/>
  <c r="C131" i="3"/>
  <c r="C123" i="3"/>
  <c r="C115" i="3"/>
  <c r="D22" i="3"/>
  <c r="D144" i="3" s="1"/>
  <c r="E25" i="3"/>
  <c r="D19" i="3"/>
  <c r="D20" i="3" s="1"/>
  <c r="C86" i="2"/>
  <c r="C88" i="2"/>
  <c r="C134" i="2"/>
  <c r="C126" i="2"/>
  <c r="C122" i="2"/>
  <c r="C118" i="2"/>
  <c r="C114" i="2"/>
  <c r="C133" i="2"/>
  <c r="C129" i="2"/>
  <c r="C125" i="2"/>
  <c r="C121" i="2"/>
  <c r="C132" i="2"/>
  <c r="C124" i="2"/>
  <c r="C120" i="2"/>
  <c r="C116" i="2"/>
  <c r="C112" i="2"/>
  <c r="C131" i="2"/>
  <c r="C127" i="2"/>
  <c r="C123" i="2"/>
  <c r="C119" i="2"/>
  <c r="D133" i="2"/>
  <c r="D113" i="2"/>
  <c r="D132" i="2"/>
  <c r="D128" i="2"/>
  <c r="D120" i="2"/>
  <c r="D119" i="2"/>
  <c r="D115" i="2"/>
  <c r="D126" i="2"/>
  <c r="D122" i="2"/>
  <c r="E116" i="2"/>
  <c r="E112" i="2"/>
  <c r="E131" i="2"/>
  <c r="C22" i="2"/>
  <c r="D25" i="2"/>
  <c r="C19" i="2"/>
  <c r="D22" i="2"/>
  <c r="D144" i="2" s="1"/>
  <c r="C23" i="2"/>
  <c r="E25" i="2"/>
  <c r="G25" i="2" s="1"/>
  <c r="D19" i="2"/>
  <c r="D20" i="2" s="1"/>
  <c r="E22" i="2"/>
  <c r="E144" i="2" s="1"/>
  <c r="E19" i="2"/>
  <c r="E20" i="2" s="1"/>
  <c r="E25" i="1"/>
  <c r="C129" i="1"/>
  <c r="C125" i="1"/>
  <c r="C113" i="1"/>
  <c r="C128" i="1"/>
  <c r="C124" i="1"/>
  <c r="C119" i="1"/>
  <c r="C123" i="1"/>
  <c r="C122" i="1"/>
  <c r="C114" i="1"/>
  <c r="C134" i="1"/>
  <c r="C116" i="1"/>
  <c r="D120" i="1"/>
  <c r="D116" i="1"/>
  <c r="D123" i="1"/>
  <c r="D125" i="1"/>
  <c r="D111" i="1"/>
  <c r="D117" i="1"/>
  <c r="D119" i="1"/>
  <c r="C25" i="1"/>
  <c r="E122" i="1"/>
  <c r="E133" i="1"/>
  <c r="E129" i="1"/>
  <c r="E125" i="1"/>
  <c r="E121" i="1"/>
  <c r="E117" i="1"/>
  <c r="E128" i="1"/>
  <c r="E19" i="1"/>
  <c r="E20" i="1" s="1"/>
  <c r="E23" i="1"/>
  <c r="E24" i="1" s="1"/>
  <c r="E145" i="1" s="1"/>
  <c r="D23" i="1"/>
  <c r="D24" i="1" s="1"/>
  <c r="D145" i="1" s="1"/>
  <c r="D19" i="1"/>
  <c r="D20" i="1" s="1"/>
  <c r="C19" i="1"/>
  <c r="C22" i="1"/>
  <c r="D25" i="1"/>
  <c r="E118" i="1"/>
  <c r="E127" i="1"/>
  <c r="D22" i="1"/>
  <c r="D144" i="1" s="1"/>
  <c r="E114" i="1"/>
  <c r="E115" i="1"/>
  <c r="E116" i="1"/>
  <c r="E126" i="1"/>
  <c r="E134" i="1"/>
  <c r="F142" i="3" l="1"/>
  <c r="C111" i="9"/>
  <c r="C123" i="9"/>
  <c r="E121" i="2"/>
  <c r="E125" i="2"/>
  <c r="E129" i="2"/>
  <c r="E133" i="2"/>
  <c r="E114" i="2"/>
  <c r="E118" i="2"/>
  <c r="E119" i="2"/>
  <c r="E123" i="2"/>
  <c r="E127" i="2"/>
  <c r="C127" i="7"/>
  <c r="C128" i="7"/>
  <c r="C131" i="7"/>
  <c r="C132" i="7"/>
  <c r="E111" i="7"/>
  <c r="E112" i="7"/>
  <c r="E130" i="7"/>
  <c r="E131" i="7"/>
  <c r="D114" i="7"/>
  <c r="G144" i="4"/>
  <c r="D113" i="4"/>
  <c r="D117" i="4"/>
  <c r="D121" i="4"/>
  <c r="D125" i="4"/>
  <c r="G125" i="4" s="1"/>
  <c r="D115" i="4"/>
  <c r="D127" i="4"/>
  <c r="D116" i="4"/>
  <c r="D132" i="11"/>
  <c r="D120" i="11"/>
  <c r="D133" i="11"/>
  <c r="D121" i="11"/>
  <c r="D134" i="11"/>
  <c r="D122" i="11"/>
  <c r="D123" i="11"/>
  <c r="D111" i="11"/>
  <c r="D124" i="11"/>
  <c r="D112" i="11"/>
  <c r="D125" i="11"/>
  <c r="D119" i="11"/>
  <c r="D113" i="11"/>
  <c r="D127" i="11"/>
  <c r="D115" i="11"/>
  <c r="D128" i="11"/>
  <c r="D116" i="11"/>
  <c r="D129" i="11"/>
  <c r="D117" i="11"/>
  <c r="G117" i="11" s="1"/>
  <c r="D130" i="11"/>
  <c r="G142" i="3"/>
  <c r="E120" i="10"/>
  <c r="C116" i="9"/>
  <c r="C118" i="9"/>
  <c r="C114" i="9"/>
  <c r="C121" i="9"/>
  <c r="C124" i="9"/>
  <c r="D114" i="9"/>
  <c r="D116" i="9"/>
  <c r="C126" i="9"/>
  <c r="D122" i="9"/>
  <c r="C128" i="9"/>
  <c r="C130" i="9"/>
  <c r="D133" i="9"/>
  <c r="C133" i="9"/>
  <c r="D130" i="2"/>
  <c r="D134" i="2"/>
  <c r="D121" i="2"/>
  <c r="G121" i="2" s="1"/>
  <c r="D111" i="2"/>
  <c r="D125" i="2"/>
  <c r="D123" i="2"/>
  <c r="D131" i="2"/>
  <c r="D124" i="2"/>
  <c r="D117" i="2"/>
  <c r="E118" i="7"/>
  <c r="E123" i="7"/>
  <c r="E124" i="7"/>
  <c r="E119" i="7"/>
  <c r="E130" i="10"/>
  <c r="E133" i="10"/>
  <c r="C128" i="10"/>
  <c r="E113" i="10"/>
  <c r="E114" i="10"/>
  <c r="E116" i="10"/>
  <c r="E119" i="10"/>
  <c r="E126" i="10"/>
  <c r="E131" i="10"/>
  <c r="C127" i="4"/>
  <c r="E119" i="4"/>
  <c r="F144" i="4"/>
  <c r="C131" i="4"/>
  <c r="C121" i="4"/>
  <c r="G121" i="4" s="1"/>
  <c r="E118" i="4"/>
  <c r="E113" i="4"/>
  <c r="G113" i="4" s="1"/>
  <c r="C112" i="4"/>
  <c r="C129" i="4"/>
  <c r="E122" i="4"/>
  <c r="E112" i="4"/>
  <c r="C116" i="4"/>
  <c r="C133" i="4"/>
  <c r="E130" i="4"/>
  <c r="E116" i="4"/>
  <c r="C124" i="4"/>
  <c r="C114" i="4"/>
  <c r="E134" i="4"/>
  <c r="E120" i="4"/>
  <c r="C128" i="4"/>
  <c r="C122" i="4"/>
  <c r="E117" i="4"/>
  <c r="G117" i="4" s="1"/>
  <c r="E124" i="4"/>
  <c r="C119" i="4"/>
  <c r="G119" i="4" s="1"/>
  <c r="C134" i="4"/>
  <c r="E133" i="4"/>
  <c r="C123" i="4"/>
  <c r="G123" i="4" s="1"/>
  <c r="E111" i="4"/>
  <c r="C20" i="4"/>
  <c r="G19" i="4"/>
  <c r="F19" i="4"/>
  <c r="F117" i="4"/>
  <c r="C24" i="4"/>
  <c r="G23" i="4"/>
  <c r="F23" i="4"/>
  <c r="D131" i="4"/>
  <c r="D129" i="4"/>
  <c r="F116" i="4"/>
  <c r="G25" i="4"/>
  <c r="F25" i="4"/>
  <c r="D130" i="4"/>
  <c r="D133" i="4"/>
  <c r="C120" i="4"/>
  <c r="E129" i="4"/>
  <c r="E115" i="4"/>
  <c r="D114" i="4"/>
  <c r="G114" i="4" s="1"/>
  <c r="D112" i="4"/>
  <c r="G22" i="4"/>
  <c r="F22" i="4"/>
  <c r="G128" i="4"/>
  <c r="F128" i="4"/>
  <c r="D122" i="4"/>
  <c r="D120" i="4"/>
  <c r="G142" i="4"/>
  <c r="F142" i="4"/>
  <c r="G132" i="4"/>
  <c r="F132" i="4"/>
  <c r="D126" i="4"/>
  <c r="D124" i="4"/>
  <c r="G110" i="4"/>
  <c r="F110" i="4"/>
  <c r="C111" i="4"/>
  <c r="C118" i="4"/>
  <c r="E126" i="4"/>
  <c r="D134" i="4"/>
  <c r="F123" i="4"/>
  <c r="G127" i="4"/>
  <c r="F127" i="4"/>
  <c r="G115" i="4"/>
  <c r="F115" i="4"/>
  <c r="C144" i="19"/>
  <c r="G22" i="19"/>
  <c r="F22" i="19"/>
  <c r="G25" i="19"/>
  <c r="F25" i="19"/>
  <c r="G110" i="19"/>
  <c r="F110" i="19"/>
  <c r="C24" i="19"/>
  <c r="G23" i="19"/>
  <c r="F23" i="19"/>
  <c r="G142" i="19"/>
  <c r="F142" i="19"/>
  <c r="C20" i="19"/>
  <c r="G19" i="19"/>
  <c r="F19" i="19"/>
  <c r="C20" i="13"/>
  <c r="G19" i="13"/>
  <c r="F19" i="13"/>
  <c r="C24" i="13"/>
  <c r="G23" i="13"/>
  <c r="F23" i="13"/>
  <c r="C144" i="13"/>
  <c r="G22" i="13"/>
  <c r="F22" i="13"/>
  <c r="G110" i="13"/>
  <c r="F110" i="13"/>
  <c r="G142" i="13"/>
  <c r="F142" i="13"/>
  <c r="G25" i="13"/>
  <c r="F25" i="13"/>
  <c r="C119" i="11"/>
  <c r="C118" i="11"/>
  <c r="G118" i="11" s="1"/>
  <c r="C121" i="11"/>
  <c r="C122" i="11"/>
  <c r="C124" i="11"/>
  <c r="C134" i="11"/>
  <c r="C125" i="11"/>
  <c r="C127" i="11"/>
  <c r="C112" i="11"/>
  <c r="G112" i="11" s="1"/>
  <c r="C128" i="11"/>
  <c r="C113" i="11"/>
  <c r="C129" i="11"/>
  <c r="C115" i="11"/>
  <c r="C130" i="11"/>
  <c r="G130" i="11" s="1"/>
  <c r="C116" i="11"/>
  <c r="C131" i="11"/>
  <c r="G131" i="11" s="1"/>
  <c r="C117" i="11"/>
  <c r="C133" i="11"/>
  <c r="G133" i="11" s="1"/>
  <c r="E119" i="11"/>
  <c r="E131" i="11"/>
  <c r="C20" i="11"/>
  <c r="G19" i="11"/>
  <c r="F19" i="11"/>
  <c r="E120" i="11"/>
  <c r="E132" i="11"/>
  <c r="C120" i="11"/>
  <c r="C144" i="11"/>
  <c r="G22" i="11"/>
  <c r="F22" i="11"/>
  <c r="G121" i="11"/>
  <c r="F121" i="11"/>
  <c r="C24" i="11"/>
  <c r="G23" i="11"/>
  <c r="F23" i="11"/>
  <c r="G142" i="11"/>
  <c r="F142" i="11"/>
  <c r="E122" i="11"/>
  <c r="G122" i="11" s="1"/>
  <c r="E134" i="11"/>
  <c r="G134" i="11"/>
  <c r="G25" i="11"/>
  <c r="F25" i="11"/>
  <c r="G110" i="11"/>
  <c r="F110" i="11"/>
  <c r="E111" i="11"/>
  <c r="E123" i="11"/>
  <c r="C111" i="11"/>
  <c r="C123" i="11"/>
  <c r="G124" i="11"/>
  <c r="E113" i="11"/>
  <c r="E125" i="11"/>
  <c r="F125" i="11"/>
  <c r="E114" i="11"/>
  <c r="D114" i="11"/>
  <c r="C114" i="11"/>
  <c r="C126" i="11"/>
  <c r="G115" i="11"/>
  <c r="F115" i="11"/>
  <c r="G116" i="11"/>
  <c r="F116" i="11"/>
  <c r="G128" i="11"/>
  <c r="F128" i="11"/>
  <c r="C28" i="20"/>
  <c r="G27" i="20"/>
  <c r="F27" i="20"/>
  <c r="C152" i="20"/>
  <c r="G30" i="20"/>
  <c r="F30" i="20"/>
  <c r="G33" i="20"/>
  <c r="F33" i="20"/>
  <c r="C32" i="20"/>
  <c r="G31" i="20"/>
  <c r="F31" i="20"/>
  <c r="G118" i="20"/>
  <c r="F118" i="20"/>
  <c r="G150" i="20"/>
  <c r="F150" i="20"/>
  <c r="C144" i="18"/>
  <c r="G22" i="18"/>
  <c r="F22" i="18"/>
  <c r="C24" i="18"/>
  <c r="G23" i="18"/>
  <c r="F23" i="18"/>
  <c r="C20" i="18"/>
  <c r="G19" i="18"/>
  <c r="F19" i="18"/>
  <c r="G110" i="18"/>
  <c r="F110" i="18"/>
  <c r="G142" i="18"/>
  <c r="F142" i="18"/>
  <c r="G25" i="18"/>
  <c r="F25" i="18"/>
  <c r="G125" i="3"/>
  <c r="F125" i="3"/>
  <c r="F133" i="3"/>
  <c r="G133" i="3"/>
  <c r="G124" i="3"/>
  <c r="F124" i="3"/>
  <c r="G114" i="3"/>
  <c r="F114" i="3"/>
  <c r="G22" i="3"/>
  <c r="E80" i="3"/>
  <c r="E88" i="3" s="1"/>
  <c r="E138" i="3"/>
  <c r="G128" i="3"/>
  <c r="F128" i="3"/>
  <c r="G118" i="3"/>
  <c r="F118" i="3"/>
  <c r="G132" i="3"/>
  <c r="F132" i="3"/>
  <c r="G119" i="3"/>
  <c r="F119" i="3"/>
  <c r="G130" i="3"/>
  <c r="F130" i="3"/>
  <c r="F22" i="3"/>
  <c r="G127" i="3"/>
  <c r="F127" i="3"/>
  <c r="G134" i="3"/>
  <c r="F134" i="3"/>
  <c r="G129" i="3"/>
  <c r="F129" i="3"/>
  <c r="G116" i="3"/>
  <c r="F116" i="3"/>
  <c r="G111" i="3"/>
  <c r="F111" i="3"/>
  <c r="G144" i="3"/>
  <c r="F144" i="3"/>
  <c r="G115" i="3"/>
  <c r="F115" i="3"/>
  <c r="C20" i="3"/>
  <c r="G19" i="3"/>
  <c r="F19" i="3"/>
  <c r="D80" i="3"/>
  <c r="D138" i="3"/>
  <c r="G123" i="3"/>
  <c r="F123" i="3"/>
  <c r="G117" i="3"/>
  <c r="F117" i="3"/>
  <c r="C24" i="3"/>
  <c r="G23" i="3"/>
  <c r="F23" i="3"/>
  <c r="G122" i="3"/>
  <c r="F122" i="3"/>
  <c r="G126" i="3"/>
  <c r="F126" i="3"/>
  <c r="G113" i="3"/>
  <c r="F113" i="3"/>
  <c r="G131" i="3"/>
  <c r="F131" i="3"/>
  <c r="G121" i="3"/>
  <c r="F121" i="3"/>
  <c r="C80" i="3"/>
  <c r="C138" i="3"/>
  <c r="G25" i="3"/>
  <c r="F25" i="3"/>
  <c r="G112" i="3"/>
  <c r="F112" i="3"/>
  <c r="G120" i="3"/>
  <c r="F120" i="3"/>
  <c r="C20" i="21"/>
  <c r="G19" i="21"/>
  <c r="F19" i="21"/>
  <c r="C144" i="21"/>
  <c r="G22" i="21"/>
  <c r="F22" i="21"/>
  <c r="G110" i="21"/>
  <c r="F110" i="21"/>
  <c r="C24" i="21"/>
  <c r="G23" i="21"/>
  <c r="F23" i="21"/>
  <c r="G142" i="21"/>
  <c r="F142" i="21"/>
  <c r="G25" i="21"/>
  <c r="F25" i="21"/>
  <c r="E121" i="10"/>
  <c r="E128" i="10"/>
  <c r="E112" i="10"/>
  <c r="E129" i="10"/>
  <c r="E117" i="10"/>
  <c r="E134" i="10"/>
  <c r="C132" i="10"/>
  <c r="E118" i="10"/>
  <c r="E132" i="10"/>
  <c r="C120" i="10"/>
  <c r="C121" i="10"/>
  <c r="D120" i="10"/>
  <c r="C127" i="10"/>
  <c r="G127" i="10" s="1"/>
  <c r="E122" i="10"/>
  <c r="D128" i="10"/>
  <c r="C133" i="10"/>
  <c r="E111" i="10"/>
  <c r="E123" i="10"/>
  <c r="D115" i="10"/>
  <c r="C115" i="10"/>
  <c r="E115" i="10"/>
  <c r="C116" i="10"/>
  <c r="D129" i="10"/>
  <c r="C119" i="10"/>
  <c r="C131" i="10"/>
  <c r="D119" i="10"/>
  <c r="D121" i="10"/>
  <c r="C122" i="10"/>
  <c r="G122" i="10" s="1"/>
  <c r="C134" i="10"/>
  <c r="F134" i="10" s="1"/>
  <c r="D123" i="10"/>
  <c r="C111" i="10"/>
  <c r="C123" i="10"/>
  <c r="D111" i="10"/>
  <c r="D124" i="10"/>
  <c r="C112" i="10"/>
  <c r="C124" i="10"/>
  <c r="D112" i="10"/>
  <c r="D125" i="10"/>
  <c r="C113" i="10"/>
  <c r="C125" i="10"/>
  <c r="D113" i="10"/>
  <c r="D126" i="10"/>
  <c r="C114" i="10"/>
  <c r="C126" i="10"/>
  <c r="D114" i="10"/>
  <c r="D127" i="10"/>
  <c r="C117" i="10"/>
  <c r="C129" i="10"/>
  <c r="D117" i="10"/>
  <c r="D116" i="10"/>
  <c r="C118" i="10"/>
  <c r="D118" i="10"/>
  <c r="D130" i="10"/>
  <c r="D131" i="10"/>
  <c r="D132" i="10"/>
  <c r="D133" i="10"/>
  <c r="D122" i="10"/>
  <c r="E121" i="9"/>
  <c r="E122" i="9"/>
  <c r="D121" i="9"/>
  <c r="C113" i="9"/>
  <c r="C125" i="9"/>
  <c r="E126" i="9"/>
  <c r="D124" i="9"/>
  <c r="F124" i="9" s="1"/>
  <c r="C115" i="9"/>
  <c r="C127" i="9"/>
  <c r="E133" i="9"/>
  <c r="D126" i="9"/>
  <c r="C117" i="9"/>
  <c r="C129" i="9"/>
  <c r="E134" i="9"/>
  <c r="D112" i="9"/>
  <c r="G112" i="9" s="1"/>
  <c r="D128" i="9"/>
  <c r="C119" i="9"/>
  <c r="C131" i="9"/>
  <c r="D127" i="9"/>
  <c r="D113" i="9"/>
  <c r="D131" i="9"/>
  <c r="F131" i="9" s="1"/>
  <c r="C120" i="9"/>
  <c r="C132" i="9"/>
  <c r="E114" i="9"/>
  <c r="D115" i="9"/>
  <c r="D134" i="9"/>
  <c r="G134" i="9" s="1"/>
  <c r="C122" i="9"/>
  <c r="D119" i="9"/>
  <c r="E113" i="9"/>
  <c r="E125" i="9"/>
  <c r="F125" i="9" s="1"/>
  <c r="E115" i="9"/>
  <c r="E127" i="9"/>
  <c r="E116" i="9"/>
  <c r="E128" i="9"/>
  <c r="E117" i="9"/>
  <c r="E129" i="9"/>
  <c r="D117" i="9"/>
  <c r="D129" i="9"/>
  <c r="G142" i="9"/>
  <c r="F142" i="9"/>
  <c r="E118" i="9"/>
  <c r="E130" i="9"/>
  <c r="D118" i="9"/>
  <c r="D130" i="9"/>
  <c r="G110" i="9"/>
  <c r="F110" i="9"/>
  <c r="C24" i="9"/>
  <c r="G23" i="9"/>
  <c r="F23" i="9"/>
  <c r="C20" i="9"/>
  <c r="G19" i="9"/>
  <c r="F19" i="9"/>
  <c r="E120" i="9"/>
  <c r="E132" i="9"/>
  <c r="D120" i="9"/>
  <c r="D132" i="9"/>
  <c r="C144" i="9"/>
  <c r="G22" i="9"/>
  <c r="F22" i="9"/>
  <c r="G25" i="9"/>
  <c r="F25" i="9"/>
  <c r="E111" i="9"/>
  <c r="D111" i="9"/>
  <c r="F111" i="9" s="1"/>
  <c r="G123" i="9"/>
  <c r="F123" i="9"/>
  <c r="G110" i="17"/>
  <c r="F110" i="17"/>
  <c r="G142" i="17"/>
  <c r="F142" i="17"/>
  <c r="C20" i="17"/>
  <c r="G19" i="17"/>
  <c r="F19" i="17"/>
  <c r="C144" i="17"/>
  <c r="G22" i="17"/>
  <c r="F22" i="17"/>
  <c r="C24" i="17"/>
  <c r="G23" i="17"/>
  <c r="F23" i="17"/>
  <c r="G25" i="17"/>
  <c r="F25" i="17"/>
  <c r="C92" i="2"/>
  <c r="C90" i="2"/>
  <c r="C96" i="2"/>
  <c r="C94" i="2"/>
  <c r="C100" i="2"/>
  <c r="C98" i="2"/>
  <c r="C104" i="2"/>
  <c r="C102" i="2"/>
  <c r="C81" i="2"/>
  <c r="C83" i="2"/>
  <c r="C85" i="2"/>
  <c r="C87" i="2"/>
  <c r="C89" i="2"/>
  <c r="C91" i="2"/>
  <c r="C93" i="2"/>
  <c r="C95" i="2"/>
  <c r="C97" i="2"/>
  <c r="C99" i="2"/>
  <c r="C101" i="2"/>
  <c r="C103" i="2"/>
  <c r="C84" i="2"/>
  <c r="C24" i="2"/>
  <c r="G23" i="2"/>
  <c r="F23" i="2"/>
  <c r="F25" i="2"/>
  <c r="E122" i="2"/>
  <c r="F122" i="2" s="1"/>
  <c r="G122" i="2"/>
  <c r="C20" i="2"/>
  <c r="G19" i="2"/>
  <c r="F19" i="2"/>
  <c r="E126" i="2"/>
  <c r="G126" i="2" s="1"/>
  <c r="E124" i="2"/>
  <c r="F124" i="2" s="1"/>
  <c r="G124" i="2"/>
  <c r="E130" i="2"/>
  <c r="E128" i="2"/>
  <c r="D127" i="2"/>
  <c r="G127" i="2" s="1"/>
  <c r="D129" i="2"/>
  <c r="F129" i="2" s="1"/>
  <c r="C128" i="2"/>
  <c r="G142" i="2"/>
  <c r="F142" i="2"/>
  <c r="G116" i="2"/>
  <c r="F116" i="2"/>
  <c r="E120" i="2"/>
  <c r="G120" i="2" s="1"/>
  <c r="E134" i="2"/>
  <c r="E132" i="2"/>
  <c r="F132" i="2" s="1"/>
  <c r="G110" i="2"/>
  <c r="F110" i="2"/>
  <c r="E113" i="2"/>
  <c r="E111" i="2"/>
  <c r="D114" i="2"/>
  <c r="G114" i="2" s="1"/>
  <c r="D112" i="2"/>
  <c r="G112" i="2" s="1"/>
  <c r="C111" i="2"/>
  <c r="C113" i="2"/>
  <c r="C144" i="2"/>
  <c r="G22" i="2"/>
  <c r="F22" i="2"/>
  <c r="G132" i="2"/>
  <c r="E117" i="2"/>
  <c r="D118" i="2"/>
  <c r="G118" i="2" s="1"/>
  <c r="C115" i="2"/>
  <c r="C117" i="2"/>
  <c r="F119" i="2"/>
  <c r="G119" i="2"/>
  <c r="F125" i="2"/>
  <c r="G125" i="2"/>
  <c r="G133" i="2"/>
  <c r="F133" i="2"/>
  <c r="F131" i="2"/>
  <c r="G131" i="2"/>
  <c r="C24" i="16"/>
  <c r="G23" i="16"/>
  <c r="F23" i="16"/>
  <c r="G25" i="16"/>
  <c r="F25" i="16"/>
  <c r="G110" i="16"/>
  <c r="F110" i="16"/>
  <c r="G142" i="16"/>
  <c r="F142" i="16"/>
  <c r="C20" i="16"/>
  <c r="G19" i="16"/>
  <c r="F19" i="16"/>
  <c r="C144" i="16"/>
  <c r="G22" i="16"/>
  <c r="F22" i="16"/>
  <c r="C20" i="15"/>
  <c r="G19" i="15"/>
  <c r="F19" i="15"/>
  <c r="C144" i="15"/>
  <c r="G22" i="15"/>
  <c r="F22" i="15"/>
  <c r="C24" i="15"/>
  <c r="G23" i="15"/>
  <c r="F23" i="15"/>
  <c r="G25" i="15"/>
  <c r="F25" i="15"/>
  <c r="G110" i="15"/>
  <c r="F110" i="15"/>
  <c r="G142" i="15"/>
  <c r="F142" i="15"/>
  <c r="E122" i="7"/>
  <c r="E134" i="7"/>
  <c r="E114" i="7"/>
  <c r="G114" i="7" s="1"/>
  <c r="E126" i="7"/>
  <c r="G126" i="7" s="1"/>
  <c r="E113" i="7"/>
  <c r="E115" i="7"/>
  <c r="E127" i="7"/>
  <c r="E116" i="7"/>
  <c r="F116" i="7" s="1"/>
  <c r="E128" i="7"/>
  <c r="E125" i="7"/>
  <c r="E117" i="7"/>
  <c r="E129" i="7"/>
  <c r="E120" i="7"/>
  <c r="E132" i="7"/>
  <c r="E121" i="7"/>
  <c r="D128" i="7"/>
  <c r="D117" i="7"/>
  <c r="D129" i="7"/>
  <c r="C117" i="7"/>
  <c r="C129" i="7"/>
  <c r="D118" i="7"/>
  <c r="D130" i="7"/>
  <c r="C118" i="7"/>
  <c r="C130" i="7"/>
  <c r="D119" i="7"/>
  <c r="F119" i="7" s="1"/>
  <c r="D121" i="7"/>
  <c r="D133" i="7"/>
  <c r="C121" i="7"/>
  <c r="C133" i="7"/>
  <c r="C24" i="7"/>
  <c r="G23" i="7"/>
  <c r="F23" i="7"/>
  <c r="D122" i="7"/>
  <c r="D134" i="7"/>
  <c r="C122" i="7"/>
  <c r="C134" i="7"/>
  <c r="G25" i="7"/>
  <c r="F25" i="7"/>
  <c r="D131" i="7"/>
  <c r="G131" i="7" s="1"/>
  <c r="C20" i="7"/>
  <c r="G19" i="7"/>
  <c r="F19" i="7"/>
  <c r="D120" i="7"/>
  <c r="C144" i="7"/>
  <c r="G22" i="7"/>
  <c r="F22" i="7"/>
  <c r="D112" i="7"/>
  <c r="D124" i="7"/>
  <c r="C112" i="7"/>
  <c r="C124" i="7"/>
  <c r="F131" i="7"/>
  <c r="D132" i="7"/>
  <c r="D111" i="7"/>
  <c r="D123" i="7"/>
  <c r="C111" i="7"/>
  <c r="C123" i="7"/>
  <c r="D113" i="7"/>
  <c r="D125" i="7"/>
  <c r="C113" i="7"/>
  <c r="D115" i="7"/>
  <c r="G115" i="7" s="1"/>
  <c r="G142" i="7"/>
  <c r="F142" i="7"/>
  <c r="D127" i="7"/>
  <c r="F127" i="7" s="1"/>
  <c r="F128" i="7"/>
  <c r="G110" i="7"/>
  <c r="F110" i="7"/>
  <c r="E127" i="8"/>
  <c r="E128" i="8"/>
  <c r="F128" i="8" s="1"/>
  <c r="E118" i="8"/>
  <c r="E130" i="8"/>
  <c r="D118" i="8"/>
  <c r="D130" i="8"/>
  <c r="F130" i="8" s="1"/>
  <c r="E132" i="8"/>
  <c r="G132" i="8" s="1"/>
  <c r="E133" i="8"/>
  <c r="F133" i="8" s="1"/>
  <c r="E122" i="8"/>
  <c r="E134" i="8"/>
  <c r="D122" i="8"/>
  <c r="D134" i="8"/>
  <c r="E120" i="8"/>
  <c r="G120" i="8" s="1"/>
  <c r="E121" i="8"/>
  <c r="G121" i="8" s="1"/>
  <c r="E111" i="8"/>
  <c r="E123" i="8"/>
  <c r="D111" i="8"/>
  <c r="D123" i="8"/>
  <c r="G123" i="8" s="1"/>
  <c r="E115" i="8"/>
  <c r="G115" i="8" s="1"/>
  <c r="E116" i="8"/>
  <c r="E117" i="8"/>
  <c r="D117" i="8"/>
  <c r="G129" i="8"/>
  <c r="F129" i="8"/>
  <c r="G25" i="8"/>
  <c r="F25" i="8"/>
  <c r="C144" i="8"/>
  <c r="G22" i="8"/>
  <c r="F22" i="8"/>
  <c r="C24" i="8"/>
  <c r="G23" i="8"/>
  <c r="F23" i="8"/>
  <c r="G119" i="8"/>
  <c r="F119" i="8"/>
  <c r="G131" i="8"/>
  <c r="F131" i="8"/>
  <c r="G133" i="8"/>
  <c r="F123" i="8"/>
  <c r="F110" i="8"/>
  <c r="G110" i="8"/>
  <c r="G112" i="8"/>
  <c r="F112" i="8"/>
  <c r="G124" i="8"/>
  <c r="F124" i="8"/>
  <c r="G128" i="8"/>
  <c r="G122" i="8"/>
  <c r="F122" i="8"/>
  <c r="G113" i="8"/>
  <c r="F113" i="8"/>
  <c r="F125" i="8"/>
  <c r="G125" i="8"/>
  <c r="F116" i="8"/>
  <c r="G116" i="8"/>
  <c r="G142" i="8"/>
  <c r="F142" i="8"/>
  <c r="G114" i="8"/>
  <c r="F114" i="8"/>
  <c r="G126" i="8"/>
  <c r="F126" i="8"/>
  <c r="F115" i="8"/>
  <c r="F127" i="8"/>
  <c r="G127" i="8"/>
  <c r="C20" i="8"/>
  <c r="G19" i="8"/>
  <c r="F19" i="8"/>
  <c r="G145" i="1"/>
  <c r="D113" i="1"/>
  <c r="D115" i="1"/>
  <c r="D131" i="1"/>
  <c r="G131" i="1" s="1"/>
  <c r="D129" i="1"/>
  <c r="G129" i="1" s="1"/>
  <c r="D112" i="1"/>
  <c r="C131" i="1"/>
  <c r="D126" i="1"/>
  <c r="D134" i="1"/>
  <c r="G134" i="1" s="1"/>
  <c r="D128" i="1"/>
  <c r="F128" i="1" s="1"/>
  <c r="C132" i="1"/>
  <c r="D130" i="1"/>
  <c r="C112" i="1"/>
  <c r="C117" i="1"/>
  <c r="F117" i="1" s="1"/>
  <c r="D124" i="1"/>
  <c r="D118" i="1"/>
  <c r="D122" i="1"/>
  <c r="F122" i="1" s="1"/>
  <c r="C126" i="1"/>
  <c r="C121" i="1"/>
  <c r="D127" i="1"/>
  <c r="C144" i="14"/>
  <c r="F22" i="14"/>
  <c r="G22" i="14"/>
  <c r="C24" i="14"/>
  <c r="G23" i="14"/>
  <c r="F23" i="14"/>
  <c r="G25" i="14"/>
  <c r="F25" i="14"/>
  <c r="G110" i="14"/>
  <c r="F110" i="14"/>
  <c r="G142" i="14"/>
  <c r="F142" i="14"/>
  <c r="C20" i="14"/>
  <c r="G19" i="14"/>
  <c r="F19" i="14"/>
  <c r="F133" i="1"/>
  <c r="G133" i="1"/>
  <c r="F125" i="1"/>
  <c r="G125" i="1"/>
  <c r="E123" i="1"/>
  <c r="F123" i="1" s="1"/>
  <c r="E131" i="1"/>
  <c r="C115" i="1"/>
  <c r="F145" i="1"/>
  <c r="E111" i="1"/>
  <c r="E124" i="1"/>
  <c r="G124" i="1" s="1"/>
  <c r="E112" i="1"/>
  <c r="D121" i="1"/>
  <c r="D132" i="1"/>
  <c r="C118" i="1"/>
  <c r="F142" i="1"/>
  <c r="G142" i="1"/>
  <c r="F110" i="1"/>
  <c r="G110" i="1"/>
  <c r="C144" i="1"/>
  <c r="F22" i="1"/>
  <c r="G22" i="1"/>
  <c r="F116" i="1"/>
  <c r="G116" i="1"/>
  <c r="E120" i="1"/>
  <c r="E132" i="1"/>
  <c r="C127" i="1"/>
  <c r="C120" i="1"/>
  <c r="E119" i="1"/>
  <c r="G119" i="1" s="1"/>
  <c r="E113" i="1"/>
  <c r="D114" i="1"/>
  <c r="F114" i="1" s="1"/>
  <c r="C111" i="1"/>
  <c r="F111" i="1" s="1"/>
  <c r="C130" i="1"/>
  <c r="F23" i="1"/>
  <c r="G112" i="1"/>
  <c r="G23" i="1"/>
  <c r="G126" i="1"/>
  <c r="G128" i="1"/>
  <c r="F134" i="1"/>
  <c r="C20" i="1"/>
  <c r="F19" i="1"/>
  <c r="G19" i="1"/>
  <c r="F24" i="1"/>
  <c r="G24" i="1"/>
  <c r="F121" i="1"/>
  <c r="F25" i="1"/>
  <c r="G25" i="1"/>
  <c r="F129" i="1"/>
  <c r="G121" i="10"/>
  <c r="C20" i="10"/>
  <c r="G19" i="10"/>
  <c r="F19" i="10"/>
  <c r="C144" i="10"/>
  <c r="G22" i="10"/>
  <c r="F22" i="10"/>
  <c r="C24" i="10"/>
  <c r="G23" i="10"/>
  <c r="F23" i="10"/>
  <c r="G25" i="10"/>
  <c r="F25" i="10"/>
  <c r="G142" i="10"/>
  <c r="F142" i="10"/>
  <c r="G110" i="10"/>
  <c r="F110" i="10"/>
  <c r="E80" i="4"/>
  <c r="E138" i="4"/>
  <c r="C80" i="4"/>
  <c r="C87" i="4" s="1"/>
  <c r="C138" i="4"/>
  <c r="D80" i="4"/>
  <c r="D138" i="4"/>
  <c r="E134" i="21"/>
  <c r="E133" i="21"/>
  <c r="E132" i="21"/>
  <c r="E131" i="21"/>
  <c r="E130" i="21"/>
  <c r="E129" i="21"/>
  <c r="E128" i="21"/>
  <c r="E127" i="21"/>
  <c r="E126" i="21"/>
  <c r="E125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111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E138" i="21"/>
  <c r="E80" i="21"/>
  <c r="D138" i="21"/>
  <c r="D80" i="21"/>
  <c r="C138" i="21"/>
  <c r="C80" i="21"/>
  <c r="C142" i="20"/>
  <c r="C141" i="20"/>
  <c r="C140" i="20"/>
  <c r="C139" i="20"/>
  <c r="C138" i="20"/>
  <c r="C137" i="20"/>
  <c r="C136" i="20"/>
  <c r="C135" i="20"/>
  <c r="C134" i="20"/>
  <c r="C133" i="20"/>
  <c r="C132" i="20"/>
  <c r="C131" i="20"/>
  <c r="C130" i="20"/>
  <c r="C129" i="20"/>
  <c r="C128" i="20"/>
  <c r="C127" i="20"/>
  <c r="C126" i="20"/>
  <c r="C125" i="20"/>
  <c r="C124" i="20"/>
  <c r="C123" i="20"/>
  <c r="C122" i="20"/>
  <c r="C121" i="20"/>
  <c r="C120" i="20"/>
  <c r="C119" i="20"/>
  <c r="E142" i="20"/>
  <c r="E141" i="20"/>
  <c r="E140" i="20"/>
  <c r="E139" i="20"/>
  <c r="E138" i="20"/>
  <c r="E137" i="20"/>
  <c r="E136" i="20"/>
  <c r="E135" i="20"/>
  <c r="E134" i="20"/>
  <c r="E133" i="20"/>
  <c r="E132" i="20"/>
  <c r="E131" i="20"/>
  <c r="E130" i="20"/>
  <c r="E129" i="20"/>
  <c r="E128" i="20"/>
  <c r="E127" i="20"/>
  <c r="E126" i="20"/>
  <c r="E125" i="20"/>
  <c r="E124" i="20"/>
  <c r="E123" i="20"/>
  <c r="E122" i="20"/>
  <c r="E121" i="20"/>
  <c r="E120" i="20"/>
  <c r="E119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C146" i="20"/>
  <c r="C88" i="20"/>
  <c r="E146" i="20"/>
  <c r="E88" i="20"/>
  <c r="D146" i="20"/>
  <c r="D88" i="20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E138" i="19"/>
  <c r="E80" i="19"/>
  <c r="C138" i="19"/>
  <c r="C80" i="19"/>
  <c r="D138" i="19"/>
  <c r="D80" i="19"/>
  <c r="D134" i="18"/>
  <c r="D133" i="18"/>
  <c r="D132" i="18"/>
  <c r="D131" i="18"/>
  <c r="D130" i="18"/>
  <c r="D129" i="18"/>
  <c r="D128" i="18"/>
  <c r="D127" i="18"/>
  <c r="D126" i="18"/>
  <c r="D125" i="18"/>
  <c r="D124" i="18"/>
  <c r="D123" i="18"/>
  <c r="D122" i="18"/>
  <c r="D121" i="18"/>
  <c r="D120" i="18"/>
  <c r="D119" i="18"/>
  <c r="D118" i="18"/>
  <c r="D117" i="18"/>
  <c r="D116" i="18"/>
  <c r="D115" i="18"/>
  <c r="D114" i="18"/>
  <c r="D113" i="18"/>
  <c r="D112" i="18"/>
  <c r="D111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D138" i="18"/>
  <c r="D80" i="18"/>
  <c r="E138" i="18"/>
  <c r="E80" i="18"/>
  <c r="C138" i="18"/>
  <c r="C80" i="18"/>
  <c r="E80" i="2"/>
  <c r="E138" i="2"/>
  <c r="D80" i="2"/>
  <c r="F80" i="2" s="1"/>
  <c r="D138" i="2"/>
  <c r="G138" i="2" s="1"/>
  <c r="D80" i="1"/>
  <c r="D93" i="1" s="1"/>
  <c r="D138" i="1"/>
  <c r="C80" i="1"/>
  <c r="C94" i="1" s="1"/>
  <c r="C138" i="1"/>
  <c r="E80" i="1"/>
  <c r="E138" i="1"/>
  <c r="E134" i="17"/>
  <c r="E133" i="17"/>
  <c r="E132" i="17"/>
  <c r="E131" i="17"/>
  <c r="E130" i="17"/>
  <c r="E129" i="17"/>
  <c r="E128" i="17"/>
  <c r="E127" i="17"/>
  <c r="E126" i="17"/>
  <c r="E125" i="17"/>
  <c r="E124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111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E138" i="17"/>
  <c r="E80" i="17"/>
  <c r="D138" i="17"/>
  <c r="D80" i="17"/>
  <c r="C138" i="17"/>
  <c r="C80" i="17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C138" i="16"/>
  <c r="C80" i="16"/>
  <c r="E138" i="16"/>
  <c r="E80" i="16"/>
  <c r="D138" i="16"/>
  <c r="D80" i="16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E138" i="15"/>
  <c r="E80" i="15"/>
  <c r="C138" i="15"/>
  <c r="C80" i="15"/>
  <c r="D138" i="15"/>
  <c r="D80" i="15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E138" i="14"/>
  <c r="E80" i="14"/>
  <c r="C138" i="14"/>
  <c r="C80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38" i="14"/>
  <c r="D80" i="14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E138" i="13"/>
  <c r="E80" i="13"/>
  <c r="D138" i="13"/>
  <c r="D80" i="13"/>
  <c r="C138" i="13"/>
  <c r="C80" i="13"/>
  <c r="C80" i="10"/>
  <c r="C103" i="10" s="1"/>
  <c r="C138" i="10"/>
  <c r="E80" i="10"/>
  <c r="E103" i="10" s="1"/>
  <c r="E138" i="10"/>
  <c r="D80" i="10"/>
  <c r="D104" i="10" s="1"/>
  <c r="D138" i="10"/>
  <c r="E80" i="9"/>
  <c r="E93" i="9" s="1"/>
  <c r="E138" i="9"/>
  <c r="D80" i="9"/>
  <c r="D93" i="9" s="1"/>
  <c r="D138" i="9"/>
  <c r="C80" i="9"/>
  <c r="C104" i="9" s="1"/>
  <c r="C138" i="9"/>
  <c r="E80" i="8"/>
  <c r="E97" i="8" s="1"/>
  <c r="E138" i="8"/>
  <c r="D80" i="8"/>
  <c r="D93" i="8" s="1"/>
  <c r="D138" i="8"/>
  <c r="C80" i="8"/>
  <c r="C96" i="8" s="1"/>
  <c r="C138" i="8"/>
  <c r="E80" i="11"/>
  <c r="E102" i="11" s="1"/>
  <c r="E138" i="11"/>
  <c r="D80" i="11"/>
  <c r="D93" i="11" s="1"/>
  <c r="D138" i="11"/>
  <c r="C80" i="11"/>
  <c r="C138" i="11"/>
  <c r="E80" i="7"/>
  <c r="E103" i="7" s="1"/>
  <c r="E138" i="7"/>
  <c r="D80" i="7"/>
  <c r="D93" i="7" s="1"/>
  <c r="D138" i="7"/>
  <c r="C80" i="7"/>
  <c r="C94" i="7" s="1"/>
  <c r="C138" i="7"/>
  <c r="E103" i="11"/>
  <c r="E91" i="11"/>
  <c r="D98" i="11"/>
  <c r="D82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90" i="10"/>
  <c r="E95" i="9"/>
  <c r="E90" i="9"/>
  <c r="C83" i="9"/>
  <c r="E103" i="8"/>
  <c r="E99" i="8"/>
  <c r="E94" i="8"/>
  <c r="E88" i="8"/>
  <c r="E82" i="8"/>
  <c r="D103" i="8"/>
  <c r="D102" i="8"/>
  <c r="D100" i="8"/>
  <c r="D95" i="8"/>
  <c r="D91" i="8"/>
  <c r="D90" i="8"/>
  <c r="D89" i="8"/>
  <c r="D87" i="8"/>
  <c r="D86" i="8"/>
  <c r="D82" i="8"/>
  <c r="C102" i="8"/>
  <c r="C101" i="8"/>
  <c r="C97" i="8"/>
  <c r="C94" i="8"/>
  <c r="C93" i="8"/>
  <c r="C91" i="8"/>
  <c r="C87" i="8"/>
  <c r="C86" i="8"/>
  <c r="E100" i="7"/>
  <c r="E94" i="7"/>
  <c r="E88" i="7"/>
  <c r="E82" i="7"/>
  <c r="E81" i="7"/>
  <c r="D94" i="7"/>
  <c r="D88" i="7"/>
  <c r="D84" i="7"/>
  <c r="C100" i="7"/>
  <c r="C95" i="7"/>
  <c r="C82" i="7"/>
  <c r="C81" i="7"/>
  <c r="C95" i="4"/>
  <c r="C91" i="4"/>
  <c r="C102" i="4"/>
  <c r="C98" i="4"/>
  <c r="C94" i="4"/>
  <c r="C90" i="4"/>
  <c r="C86" i="4"/>
  <c r="C93" i="4"/>
  <c r="C89" i="4"/>
  <c r="C104" i="4"/>
  <c r="C88" i="4"/>
  <c r="C100" i="4"/>
  <c r="C84" i="4"/>
  <c r="C96" i="4"/>
  <c r="E101" i="4"/>
  <c r="E97" i="4"/>
  <c r="E93" i="4"/>
  <c r="E89" i="4"/>
  <c r="E85" i="4"/>
  <c r="E81" i="4"/>
  <c r="E104" i="4"/>
  <c r="E100" i="4"/>
  <c r="E96" i="4"/>
  <c r="E92" i="4"/>
  <c r="E88" i="4"/>
  <c r="E84" i="4"/>
  <c r="E103" i="4"/>
  <c r="E99" i="4"/>
  <c r="E95" i="4"/>
  <c r="E91" i="4"/>
  <c r="E87" i="4"/>
  <c r="E83" i="4"/>
  <c r="E94" i="4"/>
  <c r="E90" i="4"/>
  <c r="E102" i="4"/>
  <c r="E86" i="4"/>
  <c r="E98" i="4"/>
  <c r="E82" i="4"/>
  <c r="E89" i="3"/>
  <c r="E85" i="3"/>
  <c r="E100" i="3"/>
  <c r="E96" i="3"/>
  <c r="E92" i="3"/>
  <c r="E91" i="3"/>
  <c r="E87" i="3"/>
  <c r="E90" i="3"/>
  <c r="E98" i="3"/>
  <c r="E82" i="3"/>
  <c r="C103" i="3"/>
  <c r="C99" i="3"/>
  <c r="C95" i="3"/>
  <c r="C91" i="3"/>
  <c r="C87" i="3"/>
  <c r="C83" i="3"/>
  <c r="C102" i="3"/>
  <c r="C98" i="3"/>
  <c r="C94" i="3"/>
  <c r="C90" i="3"/>
  <c r="C86" i="3"/>
  <c r="C82" i="3"/>
  <c r="C101" i="3"/>
  <c r="C97" i="3"/>
  <c r="C93" i="3"/>
  <c r="C89" i="3"/>
  <c r="C85" i="3"/>
  <c r="C81" i="3"/>
  <c r="C104" i="3"/>
  <c r="C88" i="3"/>
  <c r="C100" i="3"/>
  <c r="C84" i="3"/>
  <c r="C96" i="3"/>
  <c r="C92" i="3"/>
  <c r="E101" i="2"/>
  <c r="E97" i="2"/>
  <c r="E93" i="2"/>
  <c r="E89" i="2"/>
  <c r="E85" i="2"/>
  <c r="E81" i="2"/>
  <c r="E104" i="2"/>
  <c r="E100" i="2"/>
  <c r="E96" i="2"/>
  <c r="E92" i="2"/>
  <c r="E88" i="2"/>
  <c r="E84" i="2"/>
  <c r="E103" i="2"/>
  <c r="E99" i="2"/>
  <c r="E95" i="2"/>
  <c r="E91" i="2"/>
  <c r="E87" i="2"/>
  <c r="E83" i="2"/>
  <c r="E102" i="2"/>
  <c r="E98" i="2"/>
  <c r="E94" i="2"/>
  <c r="E90" i="2"/>
  <c r="E86" i="2"/>
  <c r="E82" i="2"/>
  <c r="D102" i="2"/>
  <c r="G102" i="2" s="1"/>
  <c r="D94" i="2"/>
  <c r="D81" i="2"/>
  <c r="D104" i="2"/>
  <c r="D96" i="2"/>
  <c r="D84" i="2"/>
  <c r="D103" i="2"/>
  <c r="D87" i="2"/>
  <c r="D101" i="1"/>
  <c r="D97" i="1"/>
  <c r="D89" i="1"/>
  <c r="D85" i="1"/>
  <c r="D81" i="1"/>
  <c r="D91" i="1"/>
  <c r="D90" i="1"/>
  <c r="D84" i="1"/>
  <c r="D82" i="1"/>
  <c r="D103" i="1"/>
  <c r="D88" i="1"/>
  <c r="D86" i="1"/>
  <c r="D95" i="1"/>
  <c r="D94" i="1"/>
  <c r="D87" i="1"/>
  <c r="D99" i="1"/>
  <c r="D98" i="1"/>
  <c r="D83" i="1"/>
  <c r="D104" i="1"/>
  <c r="D102" i="1"/>
  <c r="C86" i="1"/>
  <c r="C88" i="1"/>
  <c r="C87" i="1"/>
  <c r="C101" i="1"/>
  <c r="C81" i="1"/>
  <c r="C100" i="1"/>
  <c r="C85" i="1"/>
  <c r="C83" i="1"/>
  <c r="F125" i="4" l="1"/>
  <c r="F114" i="4"/>
  <c r="G133" i="4"/>
  <c r="F130" i="4"/>
  <c r="F117" i="11"/>
  <c r="G129" i="11"/>
  <c r="G132" i="11"/>
  <c r="G127" i="11"/>
  <c r="F124" i="11"/>
  <c r="F130" i="11"/>
  <c r="F112" i="11"/>
  <c r="F118" i="11"/>
  <c r="G130" i="10"/>
  <c r="C84" i="9"/>
  <c r="C90" i="9"/>
  <c r="C91" i="9"/>
  <c r="C92" i="9"/>
  <c r="C95" i="9"/>
  <c r="C96" i="9"/>
  <c r="G130" i="9"/>
  <c r="G124" i="9"/>
  <c r="C97" i="9"/>
  <c r="F112" i="9"/>
  <c r="C85" i="9"/>
  <c r="C102" i="9"/>
  <c r="C103" i="9"/>
  <c r="F103" i="9" s="1"/>
  <c r="F126" i="9"/>
  <c r="D90" i="9"/>
  <c r="G90" i="9" s="1"/>
  <c r="D95" i="9"/>
  <c r="F130" i="2"/>
  <c r="F121" i="2"/>
  <c r="G84" i="2"/>
  <c r="F104" i="2"/>
  <c r="G123" i="2"/>
  <c r="G116" i="7"/>
  <c r="F114" i="7"/>
  <c r="F121" i="8"/>
  <c r="F120" i="8"/>
  <c r="C99" i="1"/>
  <c r="G111" i="1"/>
  <c r="C89" i="1"/>
  <c r="C82" i="1"/>
  <c r="C98" i="1"/>
  <c r="C102" i="1"/>
  <c r="F126" i="1"/>
  <c r="G123" i="1"/>
  <c r="G121" i="1"/>
  <c r="C97" i="1"/>
  <c r="C91" i="1"/>
  <c r="C84" i="1"/>
  <c r="F112" i="1"/>
  <c r="G113" i="1"/>
  <c r="G111" i="8"/>
  <c r="G125" i="7"/>
  <c r="F113" i="9"/>
  <c r="F119" i="9"/>
  <c r="G115" i="9"/>
  <c r="G121" i="9"/>
  <c r="G113" i="11"/>
  <c r="F124" i="4"/>
  <c r="G133" i="9"/>
  <c r="G122" i="9"/>
  <c r="G114" i="9"/>
  <c r="G125" i="11"/>
  <c r="F113" i="4"/>
  <c r="G130" i="4"/>
  <c r="F121" i="4"/>
  <c r="G131" i="4"/>
  <c r="G116" i="4"/>
  <c r="G134" i="4"/>
  <c r="F119" i="4"/>
  <c r="E81" i="11"/>
  <c r="E93" i="11"/>
  <c r="F131" i="11"/>
  <c r="E82" i="11"/>
  <c r="E94" i="11"/>
  <c r="G119" i="11"/>
  <c r="E83" i="11"/>
  <c r="E95" i="11"/>
  <c r="F122" i="11"/>
  <c r="E84" i="11"/>
  <c r="E96" i="11"/>
  <c r="E85" i="11"/>
  <c r="E97" i="11"/>
  <c r="F134" i="11"/>
  <c r="E104" i="11"/>
  <c r="E86" i="11"/>
  <c r="E98" i="11"/>
  <c r="E87" i="11"/>
  <c r="E99" i="11"/>
  <c r="E92" i="11"/>
  <c r="E88" i="11"/>
  <c r="E100" i="11"/>
  <c r="E89" i="11"/>
  <c r="E101" i="11"/>
  <c r="E90" i="11"/>
  <c r="F128" i="10"/>
  <c r="C84" i="10"/>
  <c r="G115" i="10"/>
  <c r="D83" i="9"/>
  <c r="G120" i="9"/>
  <c r="G125" i="9"/>
  <c r="D102" i="9"/>
  <c r="F116" i="9"/>
  <c r="G113" i="9"/>
  <c r="G118" i="9"/>
  <c r="G126" i="9"/>
  <c r="F122" i="9"/>
  <c r="G131" i="9"/>
  <c r="F133" i="9"/>
  <c r="F115" i="9"/>
  <c r="F129" i="9"/>
  <c r="G119" i="9"/>
  <c r="F114" i="9"/>
  <c r="G129" i="2"/>
  <c r="D85" i="2"/>
  <c r="G85" i="2" s="1"/>
  <c r="D89" i="2"/>
  <c r="G89" i="2" s="1"/>
  <c r="F123" i="2"/>
  <c r="G134" i="2"/>
  <c r="F126" i="2"/>
  <c r="D101" i="2"/>
  <c r="D83" i="2"/>
  <c r="F83" i="2" s="1"/>
  <c r="D82" i="2"/>
  <c r="F82" i="2" s="1"/>
  <c r="D91" i="2"/>
  <c r="G91" i="2" s="1"/>
  <c r="D98" i="2"/>
  <c r="F98" i="2" s="1"/>
  <c r="G94" i="2"/>
  <c r="F112" i="2"/>
  <c r="D100" i="2"/>
  <c r="G100" i="2" s="1"/>
  <c r="C101" i="7"/>
  <c r="C102" i="7"/>
  <c r="E89" i="7"/>
  <c r="D82" i="7"/>
  <c r="G82" i="7" s="1"/>
  <c r="E93" i="7"/>
  <c r="C88" i="7"/>
  <c r="G88" i="7" s="1"/>
  <c r="D91" i="7"/>
  <c r="E101" i="7"/>
  <c r="G127" i="7"/>
  <c r="C89" i="7"/>
  <c r="C90" i="7"/>
  <c r="D96" i="7"/>
  <c r="G132" i="7"/>
  <c r="C93" i="7"/>
  <c r="G93" i="7" s="1"/>
  <c r="D100" i="7"/>
  <c r="G128" i="7"/>
  <c r="D103" i="7"/>
  <c r="D98" i="8"/>
  <c r="E89" i="8"/>
  <c r="E104" i="8"/>
  <c r="D81" i="8"/>
  <c r="D99" i="8"/>
  <c r="E90" i="8"/>
  <c r="G130" i="8"/>
  <c r="E91" i="8"/>
  <c r="F91" i="8" s="1"/>
  <c r="D85" i="8"/>
  <c r="D101" i="8"/>
  <c r="E92" i="8"/>
  <c r="G117" i="8"/>
  <c r="F134" i="8"/>
  <c r="E95" i="8"/>
  <c r="D88" i="8"/>
  <c r="D104" i="8"/>
  <c r="E98" i="8"/>
  <c r="E83" i="8"/>
  <c r="E100" i="8"/>
  <c r="E101" i="8"/>
  <c r="F111" i="8"/>
  <c r="G118" i="8"/>
  <c r="E86" i="8"/>
  <c r="F132" i="8"/>
  <c r="D94" i="8"/>
  <c r="E87" i="8"/>
  <c r="E102" i="8"/>
  <c r="G117" i="1"/>
  <c r="F113" i="1"/>
  <c r="F131" i="1"/>
  <c r="G114" i="10"/>
  <c r="G134" i="10"/>
  <c r="F126" i="10"/>
  <c r="G128" i="10"/>
  <c r="D88" i="10"/>
  <c r="G118" i="10"/>
  <c r="G111" i="10"/>
  <c r="E84" i="10"/>
  <c r="F114" i="10"/>
  <c r="E102" i="10"/>
  <c r="F121" i="10"/>
  <c r="G133" i="10"/>
  <c r="F127" i="10"/>
  <c r="G112" i="4"/>
  <c r="F131" i="4"/>
  <c r="G129" i="4"/>
  <c r="F134" i="4"/>
  <c r="G122" i="4"/>
  <c r="G124" i="4"/>
  <c r="G126" i="4"/>
  <c r="C81" i="4"/>
  <c r="C83" i="4"/>
  <c r="F112" i="4"/>
  <c r="C85" i="4"/>
  <c r="G138" i="4"/>
  <c r="F138" i="4"/>
  <c r="G118" i="4"/>
  <c r="F118" i="4"/>
  <c r="G80" i="4"/>
  <c r="F80" i="4"/>
  <c r="G111" i="4"/>
  <c r="F111" i="4"/>
  <c r="C97" i="4"/>
  <c r="C99" i="4"/>
  <c r="F122" i="4"/>
  <c r="F133" i="4"/>
  <c r="G20" i="4"/>
  <c r="F20" i="4"/>
  <c r="C101" i="4"/>
  <c r="C103" i="4"/>
  <c r="C92" i="4"/>
  <c r="C82" i="4"/>
  <c r="G120" i="4"/>
  <c r="F120" i="4"/>
  <c r="F129" i="4"/>
  <c r="C145" i="4"/>
  <c r="G24" i="4"/>
  <c r="F24" i="4"/>
  <c r="F126" i="4"/>
  <c r="G116" i="19"/>
  <c r="F116" i="19"/>
  <c r="G128" i="19"/>
  <c r="F128" i="19"/>
  <c r="G115" i="19"/>
  <c r="F115" i="19"/>
  <c r="G127" i="19"/>
  <c r="F127" i="19"/>
  <c r="G117" i="19"/>
  <c r="F117" i="19"/>
  <c r="G129" i="19"/>
  <c r="F129" i="19"/>
  <c r="G118" i="19"/>
  <c r="F118" i="19"/>
  <c r="G80" i="19"/>
  <c r="F80" i="19"/>
  <c r="G119" i="19"/>
  <c r="F119" i="19"/>
  <c r="G131" i="19"/>
  <c r="F131" i="19"/>
  <c r="C145" i="19"/>
  <c r="G24" i="19"/>
  <c r="F24" i="19"/>
  <c r="G138" i="19"/>
  <c r="F138" i="19"/>
  <c r="G120" i="19"/>
  <c r="F120" i="19"/>
  <c r="G132" i="19"/>
  <c r="F132" i="19"/>
  <c r="G130" i="19"/>
  <c r="F130" i="19"/>
  <c r="G121" i="19"/>
  <c r="F121" i="19"/>
  <c r="G133" i="19"/>
  <c r="F133" i="19"/>
  <c r="G122" i="19"/>
  <c r="F122" i="19"/>
  <c r="G111" i="19"/>
  <c r="F111" i="19"/>
  <c r="G123" i="19"/>
  <c r="F123" i="19"/>
  <c r="G134" i="19"/>
  <c r="F134" i="19"/>
  <c r="G112" i="19"/>
  <c r="F112" i="19"/>
  <c r="G124" i="19"/>
  <c r="F124" i="19"/>
  <c r="G113" i="19"/>
  <c r="F113" i="19"/>
  <c r="G125" i="19"/>
  <c r="F125" i="19"/>
  <c r="G114" i="19"/>
  <c r="F114" i="19"/>
  <c r="G126" i="19"/>
  <c r="F126" i="19"/>
  <c r="G20" i="19"/>
  <c r="F20" i="19"/>
  <c r="G144" i="19"/>
  <c r="F144" i="19"/>
  <c r="G112" i="13"/>
  <c r="F112" i="13"/>
  <c r="G124" i="13"/>
  <c r="F124" i="13"/>
  <c r="G114" i="13"/>
  <c r="F114" i="13"/>
  <c r="G126" i="13"/>
  <c r="F126" i="13"/>
  <c r="G115" i="13"/>
  <c r="F115" i="13"/>
  <c r="G127" i="13"/>
  <c r="F127" i="13"/>
  <c r="G116" i="13"/>
  <c r="F116" i="13"/>
  <c r="G128" i="13"/>
  <c r="F128" i="13"/>
  <c r="G80" i="13"/>
  <c r="F80" i="13"/>
  <c r="G117" i="13"/>
  <c r="F117" i="13"/>
  <c r="G129" i="13"/>
  <c r="F129" i="13"/>
  <c r="G138" i="13"/>
  <c r="F138" i="13"/>
  <c r="G118" i="13"/>
  <c r="F118" i="13"/>
  <c r="G130" i="13"/>
  <c r="F130" i="13"/>
  <c r="G119" i="13"/>
  <c r="F119" i="13"/>
  <c r="G131" i="13"/>
  <c r="F131" i="13"/>
  <c r="G144" i="13"/>
  <c r="F144" i="13"/>
  <c r="G120" i="13"/>
  <c r="F120" i="13"/>
  <c r="G132" i="13"/>
  <c r="F132" i="13"/>
  <c r="G121" i="13"/>
  <c r="F121" i="13"/>
  <c r="G133" i="13"/>
  <c r="F133" i="13"/>
  <c r="G122" i="13"/>
  <c r="F122" i="13"/>
  <c r="G134" i="13"/>
  <c r="F134" i="13"/>
  <c r="C145" i="13"/>
  <c r="G24" i="13"/>
  <c r="F24" i="13"/>
  <c r="G111" i="13"/>
  <c r="F111" i="13"/>
  <c r="G123" i="13"/>
  <c r="F123" i="13"/>
  <c r="G113" i="13"/>
  <c r="F113" i="13"/>
  <c r="G125" i="13"/>
  <c r="F125" i="13"/>
  <c r="G20" i="13"/>
  <c r="F20" i="13"/>
  <c r="D84" i="11"/>
  <c r="D102" i="11"/>
  <c r="G102" i="11" s="1"/>
  <c r="D85" i="11"/>
  <c r="D103" i="11"/>
  <c r="F129" i="11"/>
  <c r="D86" i="11"/>
  <c r="G86" i="11" s="1"/>
  <c r="D89" i="11"/>
  <c r="G89" i="11" s="1"/>
  <c r="D90" i="11"/>
  <c r="F90" i="11" s="1"/>
  <c r="D101" i="11"/>
  <c r="G101" i="11" s="1"/>
  <c r="D91" i="11"/>
  <c r="G91" i="11" s="1"/>
  <c r="F113" i="11"/>
  <c r="D83" i="11"/>
  <c r="D94" i="11"/>
  <c r="G94" i="11" s="1"/>
  <c r="D95" i="11"/>
  <c r="G95" i="11" s="1"/>
  <c r="F127" i="11"/>
  <c r="D96" i="11"/>
  <c r="F133" i="11"/>
  <c r="D81" i="11"/>
  <c r="G81" i="11" s="1"/>
  <c r="D97" i="11"/>
  <c r="D87" i="11"/>
  <c r="G87" i="11" s="1"/>
  <c r="D99" i="11"/>
  <c r="G138" i="11"/>
  <c r="F138" i="11"/>
  <c r="D88" i="11"/>
  <c r="D100" i="11"/>
  <c r="G80" i="11"/>
  <c r="F80" i="11"/>
  <c r="F101" i="11"/>
  <c r="G20" i="11"/>
  <c r="F20" i="11"/>
  <c r="G126" i="11"/>
  <c r="F126" i="11"/>
  <c r="G114" i="11"/>
  <c r="F114" i="11"/>
  <c r="G103" i="11"/>
  <c r="F103" i="11"/>
  <c r="D92" i="11"/>
  <c r="F92" i="11" s="1"/>
  <c r="D104" i="11"/>
  <c r="G123" i="11"/>
  <c r="F123" i="11"/>
  <c r="F119" i="11"/>
  <c r="F81" i="11"/>
  <c r="G93" i="11"/>
  <c r="F93" i="11"/>
  <c r="G111" i="11"/>
  <c r="F111" i="11"/>
  <c r="G82" i="11"/>
  <c r="F82" i="11"/>
  <c r="G144" i="11"/>
  <c r="F144" i="11"/>
  <c r="G96" i="11"/>
  <c r="F96" i="11"/>
  <c r="G120" i="11"/>
  <c r="F120" i="11"/>
  <c r="G85" i="11"/>
  <c r="F85" i="11"/>
  <c r="G98" i="11"/>
  <c r="F98" i="11"/>
  <c r="C145" i="11"/>
  <c r="G24" i="11"/>
  <c r="F24" i="11"/>
  <c r="F132" i="11"/>
  <c r="F87" i="11"/>
  <c r="G121" i="20"/>
  <c r="F121" i="20"/>
  <c r="G134" i="20"/>
  <c r="F134" i="20"/>
  <c r="G124" i="20"/>
  <c r="F124" i="20"/>
  <c r="G136" i="20"/>
  <c r="F136" i="20"/>
  <c r="G125" i="20"/>
  <c r="F125" i="20"/>
  <c r="G137" i="20"/>
  <c r="F137" i="20"/>
  <c r="G126" i="20"/>
  <c r="F126" i="20"/>
  <c r="C153" i="20"/>
  <c r="G32" i="20"/>
  <c r="F32" i="20"/>
  <c r="G128" i="20"/>
  <c r="F128" i="20"/>
  <c r="G140" i="20"/>
  <c r="F140" i="20"/>
  <c r="G88" i="20"/>
  <c r="F88" i="20"/>
  <c r="G129" i="20"/>
  <c r="F129" i="20"/>
  <c r="G141" i="20"/>
  <c r="F141" i="20"/>
  <c r="G127" i="20"/>
  <c r="F127" i="20"/>
  <c r="G146" i="20"/>
  <c r="F146" i="20"/>
  <c r="G130" i="20"/>
  <c r="F130" i="20"/>
  <c r="G142" i="20"/>
  <c r="F142" i="20"/>
  <c r="G138" i="20"/>
  <c r="F138" i="20"/>
  <c r="G139" i="20"/>
  <c r="F139" i="20"/>
  <c r="G119" i="20"/>
  <c r="F119" i="20"/>
  <c r="G131" i="20"/>
  <c r="F131" i="20"/>
  <c r="G120" i="20"/>
  <c r="F120" i="20"/>
  <c r="G132" i="20"/>
  <c r="F132" i="20"/>
  <c r="G152" i="20"/>
  <c r="F152" i="20"/>
  <c r="G133" i="20"/>
  <c r="F133" i="20"/>
  <c r="G122" i="20"/>
  <c r="F122" i="20"/>
  <c r="G123" i="20"/>
  <c r="F123" i="20"/>
  <c r="G135" i="20"/>
  <c r="F135" i="20"/>
  <c r="G28" i="20"/>
  <c r="F28" i="20"/>
  <c r="G119" i="18"/>
  <c r="F119" i="18"/>
  <c r="G131" i="18"/>
  <c r="F131" i="18"/>
  <c r="G120" i="18"/>
  <c r="F120" i="18"/>
  <c r="G132" i="18"/>
  <c r="F132" i="18"/>
  <c r="G121" i="18"/>
  <c r="F121" i="18"/>
  <c r="G133" i="18"/>
  <c r="F133" i="18"/>
  <c r="G122" i="18"/>
  <c r="F122" i="18"/>
  <c r="G134" i="18"/>
  <c r="F134" i="18"/>
  <c r="G123" i="18"/>
  <c r="F123" i="18"/>
  <c r="G112" i="18"/>
  <c r="F112" i="18"/>
  <c r="G124" i="18"/>
  <c r="F124" i="18"/>
  <c r="G113" i="18"/>
  <c r="F113" i="18"/>
  <c r="G125" i="18"/>
  <c r="F125" i="18"/>
  <c r="G111" i="18"/>
  <c r="F111" i="18"/>
  <c r="G114" i="18"/>
  <c r="F114" i="18"/>
  <c r="G126" i="18"/>
  <c r="F126" i="18"/>
  <c r="G20" i="18"/>
  <c r="F20" i="18"/>
  <c r="G115" i="18"/>
  <c r="F115" i="18"/>
  <c r="G127" i="18"/>
  <c r="F127" i="18"/>
  <c r="G116" i="18"/>
  <c r="F116" i="18"/>
  <c r="G128" i="18"/>
  <c r="F128" i="18"/>
  <c r="G80" i="18"/>
  <c r="F80" i="18"/>
  <c r="G117" i="18"/>
  <c r="F117" i="18"/>
  <c r="G129" i="18"/>
  <c r="F129" i="18"/>
  <c r="C145" i="18"/>
  <c r="G24" i="18"/>
  <c r="F24" i="18"/>
  <c r="G138" i="18"/>
  <c r="F138" i="18"/>
  <c r="G118" i="18"/>
  <c r="F118" i="18"/>
  <c r="G130" i="18"/>
  <c r="F130" i="18"/>
  <c r="G144" i="18"/>
  <c r="F144" i="18"/>
  <c r="F20" i="3"/>
  <c r="G20" i="3"/>
  <c r="E94" i="3"/>
  <c r="E104" i="3"/>
  <c r="G138" i="3"/>
  <c r="F138" i="3"/>
  <c r="E83" i="3"/>
  <c r="E81" i="3"/>
  <c r="G80" i="3"/>
  <c r="F80" i="3"/>
  <c r="G24" i="3"/>
  <c r="F24" i="3"/>
  <c r="C145" i="3"/>
  <c r="E95" i="3"/>
  <c r="E93" i="3"/>
  <c r="E99" i="3"/>
  <c r="E103" i="3"/>
  <c r="E101" i="3"/>
  <c r="E97" i="3"/>
  <c r="E86" i="3"/>
  <c r="E84" i="3"/>
  <c r="E102" i="3"/>
  <c r="D89" i="3"/>
  <c r="F89" i="3" s="1"/>
  <c r="D81" i="3"/>
  <c r="D96" i="3"/>
  <c r="G96" i="3" s="1"/>
  <c r="D90" i="3"/>
  <c r="G90" i="3" s="1"/>
  <c r="D85" i="3"/>
  <c r="G85" i="3" s="1"/>
  <c r="D97" i="3"/>
  <c r="D92" i="3"/>
  <c r="D93" i="3"/>
  <c r="G93" i="3" s="1"/>
  <c r="D102" i="3"/>
  <c r="D104" i="3"/>
  <c r="F104" i="3" s="1"/>
  <c r="D87" i="3"/>
  <c r="G87" i="3" s="1"/>
  <c r="D98" i="3"/>
  <c r="F98" i="3" s="1"/>
  <c r="D100" i="3"/>
  <c r="F100" i="3" s="1"/>
  <c r="D103" i="3"/>
  <c r="D94" i="3"/>
  <c r="D91" i="3"/>
  <c r="G91" i="3" s="1"/>
  <c r="D83" i="3"/>
  <c r="G83" i="3" s="1"/>
  <c r="D86" i="3"/>
  <c r="D88" i="3"/>
  <c r="G88" i="3" s="1"/>
  <c r="D82" i="3"/>
  <c r="F82" i="3" s="1"/>
  <c r="D84" i="3"/>
  <c r="D101" i="3"/>
  <c r="D95" i="3"/>
  <c r="D99" i="3"/>
  <c r="G122" i="21"/>
  <c r="F122" i="21"/>
  <c r="G134" i="21"/>
  <c r="F134" i="21"/>
  <c r="G111" i="21"/>
  <c r="F111" i="21"/>
  <c r="G123" i="21"/>
  <c r="F123" i="21"/>
  <c r="G112" i="21"/>
  <c r="F112" i="21"/>
  <c r="G124" i="21"/>
  <c r="F124" i="21"/>
  <c r="G113" i="21"/>
  <c r="F113" i="21"/>
  <c r="G125" i="21"/>
  <c r="F125" i="21"/>
  <c r="C145" i="21"/>
  <c r="G24" i="21"/>
  <c r="F24" i="21"/>
  <c r="G114" i="21"/>
  <c r="F114" i="21"/>
  <c r="G126" i="21"/>
  <c r="F126" i="21"/>
  <c r="G115" i="21"/>
  <c r="F115" i="21"/>
  <c r="G127" i="21"/>
  <c r="F127" i="21"/>
  <c r="G116" i="21"/>
  <c r="F116" i="21"/>
  <c r="G128" i="21"/>
  <c r="F128" i="21"/>
  <c r="G80" i="21"/>
  <c r="F80" i="21"/>
  <c r="G117" i="21"/>
  <c r="F117" i="21"/>
  <c r="G129" i="21"/>
  <c r="F129" i="21"/>
  <c r="G138" i="21"/>
  <c r="F138" i="21"/>
  <c r="G118" i="21"/>
  <c r="F118" i="21"/>
  <c r="G130" i="21"/>
  <c r="F130" i="21"/>
  <c r="G144" i="21"/>
  <c r="F144" i="21"/>
  <c r="G119" i="21"/>
  <c r="F119" i="21"/>
  <c r="G131" i="21"/>
  <c r="F131" i="21"/>
  <c r="G120" i="21"/>
  <c r="F120" i="21"/>
  <c r="G132" i="21"/>
  <c r="F132" i="21"/>
  <c r="G121" i="21"/>
  <c r="F121" i="21"/>
  <c r="G133" i="21"/>
  <c r="F133" i="21"/>
  <c r="G20" i="21"/>
  <c r="F20" i="21"/>
  <c r="F120" i="10"/>
  <c r="F133" i="10"/>
  <c r="F132" i="10"/>
  <c r="G124" i="10"/>
  <c r="G119" i="10"/>
  <c r="G120" i="10"/>
  <c r="D100" i="10"/>
  <c r="F117" i="10"/>
  <c r="F125" i="10"/>
  <c r="C92" i="10"/>
  <c r="C96" i="10"/>
  <c r="C104" i="10"/>
  <c r="F115" i="10"/>
  <c r="F129" i="10"/>
  <c r="C89" i="10"/>
  <c r="G117" i="10"/>
  <c r="F118" i="10"/>
  <c r="C101" i="10"/>
  <c r="F111" i="10"/>
  <c r="G116" i="10"/>
  <c r="G113" i="10"/>
  <c r="G123" i="10"/>
  <c r="D87" i="10"/>
  <c r="C102" i="10"/>
  <c r="G125" i="10"/>
  <c r="C87" i="10"/>
  <c r="G132" i="10"/>
  <c r="D99" i="10"/>
  <c r="C99" i="10"/>
  <c r="G131" i="10"/>
  <c r="G112" i="10"/>
  <c r="E90" i="10"/>
  <c r="E96" i="10"/>
  <c r="F122" i="10"/>
  <c r="G126" i="10"/>
  <c r="G129" i="10"/>
  <c r="E92" i="10"/>
  <c r="F131" i="10"/>
  <c r="F119" i="10"/>
  <c r="F113" i="10"/>
  <c r="E81" i="10"/>
  <c r="E93" i="10"/>
  <c r="C81" i="10"/>
  <c r="C93" i="10"/>
  <c r="E104" i="10"/>
  <c r="E82" i="10"/>
  <c r="E94" i="10"/>
  <c r="C82" i="10"/>
  <c r="C94" i="10"/>
  <c r="F130" i="10"/>
  <c r="F124" i="10"/>
  <c r="F112" i="10"/>
  <c r="E83" i="10"/>
  <c r="E95" i="10"/>
  <c r="C83" i="10"/>
  <c r="C95" i="10"/>
  <c r="F123" i="10"/>
  <c r="E85" i="10"/>
  <c r="E97" i="10"/>
  <c r="C85" i="10"/>
  <c r="C97" i="10"/>
  <c r="E86" i="10"/>
  <c r="E98" i="10"/>
  <c r="C86" i="10"/>
  <c r="C98" i="10"/>
  <c r="F116" i="10"/>
  <c r="E87" i="10"/>
  <c r="E99" i="10"/>
  <c r="E88" i="10"/>
  <c r="E100" i="10"/>
  <c r="C88" i="10"/>
  <c r="C100" i="10"/>
  <c r="E89" i="10"/>
  <c r="E101" i="10"/>
  <c r="E91" i="10"/>
  <c r="C91" i="10"/>
  <c r="D81" i="10"/>
  <c r="D93" i="10"/>
  <c r="D82" i="10"/>
  <c r="D94" i="10"/>
  <c r="D83" i="10"/>
  <c r="D95" i="10"/>
  <c r="D84" i="10"/>
  <c r="D96" i="10"/>
  <c r="D85" i="10"/>
  <c r="D97" i="10"/>
  <c r="D86" i="10"/>
  <c r="D98" i="10"/>
  <c r="D89" i="10"/>
  <c r="D101" i="10"/>
  <c r="D90" i="10"/>
  <c r="D102" i="10"/>
  <c r="D91" i="10"/>
  <c r="D103" i="10"/>
  <c r="G103" i="10" s="1"/>
  <c r="D92" i="10"/>
  <c r="D104" i="9"/>
  <c r="G117" i="9"/>
  <c r="D82" i="9"/>
  <c r="D94" i="9"/>
  <c r="E84" i="9"/>
  <c r="G111" i="9"/>
  <c r="G132" i="9"/>
  <c r="G128" i="9"/>
  <c r="D84" i="9"/>
  <c r="D96" i="9"/>
  <c r="E91" i="9"/>
  <c r="D85" i="9"/>
  <c r="D86" i="9"/>
  <c r="D98" i="9"/>
  <c r="E96" i="9"/>
  <c r="G96" i="9" s="1"/>
  <c r="F130" i="9"/>
  <c r="D87" i="9"/>
  <c r="D99" i="9"/>
  <c r="E102" i="9"/>
  <c r="F134" i="9"/>
  <c r="D97" i="9"/>
  <c r="D88" i="9"/>
  <c r="D100" i="9"/>
  <c r="E103" i="9"/>
  <c r="F118" i="9"/>
  <c r="G127" i="9"/>
  <c r="F121" i="9"/>
  <c r="D89" i="9"/>
  <c r="D101" i="9"/>
  <c r="D91" i="9"/>
  <c r="G91" i="9" s="1"/>
  <c r="D103" i="9"/>
  <c r="G129" i="9"/>
  <c r="D92" i="9"/>
  <c r="D81" i="9"/>
  <c r="E83" i="9"/>
  <c r="G83" i="9" s="1"/>
  <c r="G116" i="9"/>
  <c r="E92" i="9"/>
  <c r="G80" i="9"/>
  <c r="F80" i="9"/>
  <c r="C82" i="9"/>
  <c r="C94" i="9"/>
  <c r="E82" i="9"/>
  <c r="E94" i="9"/>
  <c r="G20" i="9"/>
  <c r="F20" i="9"/>
  <c r="G144" i="9"/>
  <c r="F144" i="9"/>
  <c r="C86" i="9"/>
  <c r="C98" i="9"/>
  <c r="E86" i="9"/>
  <c r="E98" i="9"/>
  <c r="F132" i="9"/>
  <c r="F117" i="9"/>
  <c r="C87" i="9"/>
  <c r="C99" i="9"/>
  <c r="E87" i="9"/>
  <c r="E99" i="9"/>
  <c r="G95" i="9"/>
  <c r="F95" i="9"/>
  <c r="E85" i="9"/>
  <c r="F85" i="9" s="1"/>
  <c r="C88" i="9"/>
  <c r="C100" i="9"/>
  <c r="E88" i="9"/>
  <c r="E100" i="9"/>
  <c r="F120" i="9"/>
  <c r="F127" i="9"/>
  <c r="E97" i="9"/>
  <c r="G97" i="9" s="1"/>
  <c r="C89" i="9"/>
  <c r="C101" i="9"/>
  <c r="E89" i="9"/>
  <c r="E101" i="9"/>
  <c r="C145" i="9"/>
  <c r="G24" i="9"/>
  <c r="F24" i="9"/>
  <c r="F128" i="9"/>
  <c r="G138" i="9"/>
  <c r="F138" i="9"/>
  <c r="E104" i="9"/>
  <c r="C81" i="9"/>
  <c r="C93" i="9"/>
  <c r="E81" i="9"/>
  <c r="G134" i="17"/>
  <c r="F134" i="17"/>
  <c r="G80" i="17"/>
  <c r="F80" i="17"/>
  <c r="G113" i="17"/>
  <c r="F113" i="17"/>
  <c r="G125" i="17"/>
  <c r="F125" i="17"/>
  <c r="G114" i="17"/>
  <c r="F114" i="17"/>
  <c r="G116" i="17"/>
  <c r="F116" i="17"/>
  <c r="G128" i="17"/>
  <c r="F128" i="17"/>
  <c r="G127" i="17"/>
  <c r="F127" i="17"/>
  <c r="G117" i="17"/>
  <c r="F117" i="17"/>
  <c r="G129" i="17"/>
  <c r="F129" i="17"/>
  <c r="G144" i="17"/>
  <c r="F144" i="17"/>
  <c r="G138" i="17"/>
  <c r="F138" i="17"/>
  <c r="G115" i="17"/>
  <c r="F115" i="17"/>
  <c r="G118" i="17"/>
  <c r="F118" i="17"/>
  <c r="G130" i="17"/>
  <c r="F130" i="17"/>
  <c r="G126" i="17"/>
  <c r="F126" i="17"/>
  <c r="G119" i="17"/>
  <c r="F119" i="17"/>
  <c r="G131" i="17"/>
  <c r="F131" i="17"/>
  <c r="C145" i="17"/>
  <c r="G24" i="17"/>
  <c r="F24" i="17"/>
  <c r="G120" i="17"/>
  <c r="F120" i="17"/>
  <c r="G132" i="17"/>
  <c r="F132" i="17"/>
  <c r="G20" i="17"/>
  <c r="F20" i="17"/>
  <c r="G121" i="17"/>
  <c r="F121" i="17"/>
  <c r="G122" i="17"/>
  <c r="F122" i="17"/>
  <c r="G111" i="17"/>
  <c r="F111" i="17"/>
  <c r="G123" i="17"/>
  <c r="F123" i="17"/>
  <c r="G133" i="17"/>
  <c r="F133" i="17"/>
  <c r="G112" i="17"/>
  <c r="F112" i="17"/>
  <c r="G124" i="17"/>
  <c r="F124" i="17"/>
  <c r="G87" i="2"/>
  <c r="F103" i="2"/>
  <c r="G96" i="2"/>
  <c r="G81" i="2"/>
  <c r="F127" i="2"/>
  <c r="G101" i="2"/>
  <c r="D95" i="2"/>
  <c r="D93" i="2"/>
  <c r="F102" i="2"/>
  <c r="G117" i="2"/>
  <c r="F117" i="2"/>
  <c r="G82" i="2"/>
  <c r="G103" i="2"/>
  <c r="G130" i="2"/>
  <c r="D99" i="2"/>
  <c r="D97" i="2"/>
  <c r="G115" i="2"/>
  <c r="F115" i="2"/>
  <c r="F84" i="2"/>
  <c r="F101" i="2"/>
  <c r="G104" i="2"/>
  <c r="F94" i="2"/>
  <c r="G128" i="2"/>
  <c r="F128" i="2"/>
  <c r="F87" i="2"/>
  <c r="F113" i="2"/>
  <c r="G113" i="2"/>
  <c r="F134" i="2"/>
  <c r="F96" i="2"/>
  <c r="D88" i="2"/>
  <c r="D86" i="2"/>
  <c r="G111" i="2"/>
  <c r="F111" i="2"/>
  <c r="F118" i="2"/>
  <c r="D92" i="2"/>
  <c r="D90" i="2"/>
  <c r="G80" i="2"/>
  <c r="F89" i="2"/>
  <c r="G20" i="2"/>
  <c r="F20" i="2"/>
  <c r="G144" i="2"/>
  <c r="F144" i="2"/>
  <c r="F91" i="2"/>
  <c r="C145" i="2"/>
  <c r="F24" i="2"/>
  <c r="G24" i="2"/>
  <c r="F138" i="2"/>
  <c r="F120" i="2"/>
  <c r="F114" i="2"/>
  <c r="F81" i="2"/>
  <c r="G115" i="16"/>
  <c r="F115" i="16"/>
  <c r="G127" i="16"/>
  <c r="F127" i="16"/>
  <c r="G117" i="16"/>
  <c r="F117" i="16"/>
  <c r="G129" i="16"/>
  <c r="F129" i="16"/>
  <c r="G20" i="16"/>
  <c r="F20" i="16"/>
  <c r="G128" i="16"/>
  <c r="F128" i="16"/>
  <c r="G118" i="16"/>
  <c r="F118" i="16"/>
  <c r="G130" i="16"/>
  <c r="F130" i="16"/>
  <c r="G119" i="16"/>
  <c r="F119" i="16"/>
  <c r="G131" i="16"/>
  <c r="F131" i="16"/>
  <c r="G120" i="16"/>
  <c r="F120" i="16"/>
  <c r="G132" i="16"/>
  <c r="F132" i="16"/>
  <c r="G80" i="16"/>
  <c r="F80" i="16"/>
  <c r="G121" i="16"/>
  <c r="F121" i="16"/>
  <c r="G133" i="16"/>
  <c r="F133" i="16"/>
  <c r="G116" i="16"/>
  <c r="F116" i="16"/>
  <c r="G138" i="16"/>
  <c r="F138" i="16"/>
  <c r="G122" i="16"/>
  <c r="F122" i="16"/>
  <c r="G134" i="16"/>
  <c r="F134" i="16"/>
  <c r="G123" i="16"/>
  <c r="F123" i="16"/>
  <c r="G112" i="16"/>
  <c r="F112" i="16"/>
  <c r="G124" i="16"/>
  <c r="F124" i="16"/>
  <c r="G111" i="16"/>
  <c r="F111" i="16"/>
  <c r="G113" i="16"/>
  <c r="F113" i="16"/>
  <c r="G125" i="16"/>
  <c r="F125" i="16"/>
  <c r="G114" i="16"/>
  <c r="F114" i="16"/>
  <c r="G126" i="16"/>
  <c r="F126" i="16"/>
  <c r="G144" i="16"/>
  <c r="F144" i="16"/>
  <c r="C145" i="16"/>
  <c r="G24" i="16"/>
  <c r="F24" i="16"/>
  <c r="G118" i="15"/>
  <c r="F118" i="15"/>
  <c r="G122" i="15"/>
  <c r="F122" i="15"/>
  <c r="G134" i="15"/>
  <c r="F134" i="15"/>
  <c r="G112" i="15"/>
  <c r="F112" i="15"/>
  <c r="G124" i="15"/>
  <c r="F124" i="15"/>
  <c r="G123" i="15"/>
  <c r="F123" i="15"/>
  <c r="G113" i="15"/>
  <c r="F113" i="15"/>
  <c r="G125" i="15"/>
  <c r="F125" i="15"/>
  <c r="G114" i="15"/>
  <c r="F114" i="15"/>
  <c r="G126" i="15"/>
  <c r="F126" i="15"/>
  <c r="G115" i="15"/>
  <c r="F115" i="15"/>
  <c r="G127" i="15"/>
  <c r="F127" i="15"/>
  <c r="C145" i="15"/>
  <c r="G24" i="15"/>
  <c r="F24" i="15"/>
  <c r="F111" i="15"/>
  <c r="G111" i="15"/>
  <c r="G116" i="15"/>
  <c r="F116" i="15"/>
  <c r="G128" i="15"/>
  <c r="F128" i="15"/>
  <c r="F117" i="15"/>
  <c r="G117" i="15"/>
  <c r="F129" i="15"/>
  <c r="G129" i="15"/>
  <c r="G130" i="15"/>
  <c r="F130" i="15"/>
  <c r="G144" i="15"/>
  <c r="F144" i="15"/>
  <c r="G80" i="15"/>
  <c r="F80" i="15"/>
  <c r="G119" i="15"/>
  <c r="F119" i="15"/>
  <c r="G131" i="15"/>
  <c r="F131" i="15"/>
  <c r="F138" i="15"/>
  <c r="G138" i="15"/>
  <c r="G120" i="15"/>
  <c r="F120" i="15"/>
  <c r="G132" i="15"/>
  <c r="F132" i="15"/>
  <c r="G121" i="15"/>
  <c r="F121" i="15"/>
  <c r="G133" i="15"/>
  <c r="F133" i="15"/>
  <c r="G20" i="15"/>
  <c r="F20" i="15"/>
  <c r="D83" i="7"/>
  <c r="D95" i="7"/>
  <c r="D85" i="7"/>
  <c r="D97" i="7"/>
  <c r="G120" i="7"/>
  <c r="D86" i="7"/>
  <c r="D98" i="7"/>
  <c r="F132" i="7"/>
  <c r="D87" i="7"/>
  <c r="D99" i="7"/>
  <c r="D89" i="7"/>
  <c r="F89" i="7" s="1"/>
  <c r="D101" i="7"/>
  <c r="G101" i="7" s="1"/>
  <c r="F126" i="7"/>
  <c r="D90" i="7"/>
  <c r="D102" i="7"/>
  <c r="D92" i="7"/>
  <c r="D104" i="7"/>
  <c r="F125" i="7"/>
  <c r="D81" i="7"/>
  <c r="G100" i="7"/>
  <c r="F100" i="7"/>
  <c r="G138" i="7"/>
  <c r="F138" i="7"/>
  <c r="E90" i="7"/>
  <c r="C84" i="7"/>
  <c r="G80" i="7"/>
  <c r="F80" i="7"/>
  <c r="G118" i="7"/>
  <c r="F118" i="7"/>
  <c r="C92" i="7"/>
  <c r="C104" i="7"/>
  <c r="E92" i="7"/>
  <c r="E104" i="7"/>
  <c r="G119" i="7"/>
  <c r="C83" i="7"/>
  <c r="C96" i="7"/>
  <c r="E84" i="7"/>
  <c r="E96" i="7"/>
  <c r="F113" i="7"/>
  <c r="G113" i="7"/>
  <c r="G20" i="7"/>
  <c r="F20" i="7"/>
  <c r="C85" i="7"/>
  <c r="C97" i="7"/>
  <c r="E85" i="7"/>
  <c r="E97" i="7"/>
  <c r="G124" i="7"/>
  <c r="F124" i="7"/>
  <c r="G129" i="7"/>
  <c r="F129" i="7"/>
  <c r="G81" i="7"/>
  <c r="F81" i="7"/>
  <c r="G133" i="7"/>
  <c r="F133" i="7"/>
  <c r="E95" i="7"/>
  <c r="C86" i="7"/>
  <c r="C98" i="7"/>
  <c r="E86" i="7"/>
  <c r="E98" i="7"/>
  <c r="G123" i="7"/>
  <c r="F123" i="7"/>
  <c r="G112" i="7"/>
  <c r="F112" i="7"/>
  <c r="F120" i="7"/>
  <c r="F115" i="7"/>
  <c r="C145" i="7"/>
  <c r="F24" i="7"/>
  <c r="G24" i="7"/>
  <c r="G94" i="7"/>
  <c r="F94" i="7"/>
  <c r="G117" i="7"/>
  <c r="F117" i="7"/>
  <c r="E83" i="7"/>
  <c r="G121" i="7"/>
  <c r="F121" i="7"/>
  <c r="C87" i="7"/>
  <c r="C99" i="7"/>
  <c r="E87" i="7"/>
  <c r="E99" i="7"/>
  <c r="G111" i="7"/>
  <c r="F111" i="7"/>
  <c r="G134" i="7"/>
  <c r="F134" i="7"/>
  <c r="G122" i="7"/>
  <c r="F122" i="7"/>
  <c r="F88" i="7"/>
  <c r="G130" i="7"/>
  <c r="F130" i="7"/>
  <c r="E102" i="7"/>
  <c r="C91" i="7"/>
  <c r="C103" i="7"/>
  <c r="E91" i="7"/>
  <c r="G144" i="7"/>
  <c r="F144" i="7"/>
  <c r="C85" i="8"/>
  <c r="C100" i="8"/>
  <c r="G134" i="8"/>
  <c r="F117" i="8"/>
  <c r="C88" i="8"/>
  <c r="F88" i="8" s="1"/>
  <c r="C103" i="8"/>
  <c r="F103" i="8" s="1"/>
  <c r="C89" i="8"/>
  <c r="C90" i="8"/>
  <c r="G90" i="8" s="1"/>
  <c r="C81" i="8"/>
  <c r="C98" i="8"/>
  <c r="G98" i="8" s="1"/>
  <c r="F118" i="8"/>
  <c r="C82" i="8"/>
  <c r="F82" i="8" s="1"/>
  <c r="C99" i="8"/>
  <c r="G91" i="8"/>
  <c r="C92" i="8"/>
  <c r="C104" i="8"/>
  <c r="D92" i="8"/>
  <c r="E81" i="8"/>
  <c r="E93" i="8"/>
  <c r="F93" i="8" s="1"/>
  <c r="F20" i="8"/>
  <c r="G20" i="8"/>
  <c r="F94" i="8"/>
  <c r="G94" i="8"/>
  <c r="C83" i="8"/>
  <c r="C95" i="8"/>
  <c r="D83" i="8"/>
  <c r="D96" i="8"/>
  <c r="E84" i="8"/>
  <c r="E96" i="8"/>
  <c r="C84" i="8"/>
  <c r="D84" i="8"/>
  <c r="D97" i="8"/>
  <c r="G97" i="8" s="1"/>
  <c r="E85" i="8"/>
  <c r="F85" i="8" s="1"/>
  <c r="C145" i="8"/>
  <c r="G24" i="8"/>
  <c r="F24" i="8"/>
  <c r="G86" i="8"/>
  <c r="F86" i="8"/>
  <c r="G87" i="8"/>
  <c r="F87" i="8"/>
  <c r="G99" i="8"/>
  <c r="F99" i="8"/>
  <c r="G138" i="8"/>
  <c r="F138" i="8"/>
  <c r="G89" i="8"/>
  <c r="F89" i="8"/>
  <c r="G80" i="8"/>
  <c r="F80" i="8"/>
  <c r="G144" i="8"/>
  <c r="F144" i="8"/>
  <c r="G102" i="8"/>
  <c r="F102" i="8"/>
  <c r="C95" i="1"/>
  <c r="C103" i="1"/>
  <c r="C96" i="1"/>
  <c r="C104" i="1"/>
  <c r="D100" i="1"/>
  <c r="D92" i="1"/>
  <c r="C92" i="1"/>
  <c r="C90" i="1"/>
  <c r="C93" i="1"/>
  <c r="D96" i="1"/>
  <c r="G122" i="1"/>
  <c r="F132" i="1"/>
  <c r="F119" i="1"/>
  <c r="G114" i="1"/>
  <c r="G132" i="1"/>
  <c r="G121" i="14"/>
  <c r="F121" i="14"/>
  <c r="G133" i="14"/>
  <c r="F133" i="14"/>
  <c r="G122" i="14"/>
  <c r="F122" i="14"/>
  <c r="G134" i="14"/>
  <c r="F134" i="14"/>
  <c r="F111" i="14"/>
  <c r="G111" i="14"/>
  <c r="F123" i="14"/>
  <c r="G123" i="14"/>
  <c r="G112" i="14"/>
  <c r="F112" i="14"/>
  <c r="G124" i="14"/>
  <c r="F124" i="14"/>
  <c r="G113" i="14"/>
  <c r="F113" i="14"/>
  <c r="G125" i="14"/>
  <c r="F125" i="14"/>
  <c r="G114" i="14"/>
  <c r="F114" i="14"/>
  <c r="G126" i="14"/>
  <c r="F126" i="14"/>
  <c r="G115" i="14"/>
  <c r="F115" i="14"/>
  <c r="G127" i="14"/>
  <c r="F127" i="14"/>
  <c r="G116" i="14"/>
  <c r="F116" i="14"/>
  <c r="G128" i="14"/>
  <c r="F128" i="14"/>
  <c r="F117" i="14"/>
  <c r="G117" i="14"/>
  <c r="F129" i="14"/>
  <c r="G129" i="14"/>
  <c r="C145" i="14"/>
  <c r="G24" i="14"/>
  <c r="F24" i="14"/>
  <c r="G118" i="14"/>
  <c r="F118" i="14"/>
  <c r="G130" i="14"/>
  <c r="F130" i="14"/>
  <c r="G80" i="14"/>
  <c r="F80" i="14"/>
  <c r="G119" i="14"/>
  <c r="F119" i="14"/>
  <c r="G131" i="14"/>
  <c r="F131" i="14"/>
  <c r="F138" i="14"/>
  <c r="G138" i="14"/>
  <c r="G120" i="14"/>
  <c r="F120" i="14"/>
  <c r="G132" i="14"/>
  <c r="F132" i="14"/>
  <c r="G20" i="14"/>
  <c r="F20" i="14"/>
  <c r="G144" i="14"/>
  <c r="F144" i="14"/>
  <c r="F144" i="1"/>
  <c r="G144" i="1"/>
  <c r="F115" i="1"/>
  <c r="G115" i="1"/>
  <c r="G130" i="1"/>
  <c r="F130" i="1"/>
  <c r="F120" i="1"/>
  <c r="G120" i="1"/>
  <c r="F124" i="1"/>
  <c r="F127" i="1"/>
  <c r="G127" i="1"/>
  <c r="F138" i="1"/>
  <c r="G138" i="1"/>
  <c r="F118" i="1"/>
  <c r="G118" i="1"/>
  <c r="F80" i="1"/>
  <c r="G80" i="1"/>
  <c r="F20" i="1"/>
  <c r="G20" i="1"/>
  <c r="G138" i="10"/>
  <c r="F138" i="10"/>
  <c r="G80" i="10"/>
  <c r="F80" i="10"/>
  <c r="C145" i="10"/>
  <c r="G24" i="10"/>
  <c r="F24" i="10"/>
  <c r="G144" i="10"/>
  <c r="F144" i="10"/>
  <c r="G20" i="10"/>
  <c r="F20" i="10"/>
  <c r="D91" i="4"/>
  <c r="G91" i="4" s="1"/>
  <c r="D87" i="4"/>
  <c r="G87" i="4" s="1"/>
  <c r="D102" i="4"/>
  <c r="G102" i="4" s="1"/>
  <c r="D98" i="4"/>
  <c r="G98" i="4" s="1"/>
  <c r="D94" i="4"/>
  <c r="F94" i="4" s="1"/>
  <c r="D90" i="4"/>
  <c r="G90" i="4" s="1"/>
  <c r="D86" i="4"/>
  <c r="G86" i="4" s="1"/>
  <c r="D82" i="4"/>
  <c r="D101" i="4"/>
  <c r="D97" i="4"/>
  <c r="D93" i="4"/>
  <c r="G93" i="4" s="1"/>
  <c r="D89" i="4"/>
  <c r="F89" i="4" s="1"/>
  <c r="D85" i="4"/>
  <c r="D81" i="4"/>
  <c r="D103" i="4"/>
  <c r="D104" i="4"/>
  <c r="D100" i="4"/>
  <c r="G100" i="4" s="1"/>
  <c r="D96" i="4"/>
  <c r="G96" i="4" s="1"/>
  <c r="D92" i="4"/>
  <c r="D88" i="4"/>
  <c r="G88" i="4" s="1"/>
  <c r="D84" i="4"/>
  <c r="F84" i="4" s="1"/>
  <c r="D95" i="4"/>
  <c r="D83" i="4"/>
  <c r="D99" i="4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E104" i="21"/>
  <c r="E103" i="21"/>
  <c r="E102" i="21"/>
  <c r="E101" i="21"/>
  <c r="E100" i="21"/>
  <c r="E99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C112" i="20"/>
  <c r="C111" i="20"/>
  <c r="C110" i="20"/>
  <c r="C109" i="20"/>
  <c r="C108" i="20"/>
  <c r="C107" i="20"/>
  <c r="C106" i="20"/>
  <c r="C105" i="20"/>
  <c r="C104" i="20"/>
  <c r="C103" i="20"/>
  <c r="C102" i="20"/>
  <c r="C101" i="20"/>
  <c r="C100" i="20"/>
  <c r="C99" i="20"/>
  <c r="C98" i="20"/>
  <c r="C97" i="20"/>
  <c r="C96" i="20"/>
  <c r="C95" i="20"/>
  <c r="C94" i="20"/>
  <c r="C93" i="20"/>
  <c r="C92" i="20"/>
  <c r="C91" i="20"/>
  <c r="C90" i="20"/>
  <c r="C89" i="20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E102" i="1"/>
  <c r="F102" i="1" s="1"/>
  <c r="E98" i="1"/>
  <c r="G98" i="1" s="1"/>
  <c r="E94" i="1"/>
  <c r="F94" i="1" s="1"/>
  <c r="E90" i="1"/>
  <c r="E86" i="1"/>
  <c r="F86" i="1" s="1"/>
  <c r="E82" i="1"/>
  <c r="F82" i="1" s="1"/>
  <c r="E101" i="1"/>
  <c r="G101" i="1" s="1"/>
  <c r="E100" i="1"/>
  <c r="E99" i="1"/>
  <c r="F99" i="1" s="1"/>
  <c r="E85" i="1"/>
  <c r="F85" i="1" s="1"/>
  <c r="E84" i="1"/>
  <c r="F84" i="1" s="1"/>
  <c r="E83" i="1"/>
  <c r="G83" i="1" s="1"/>
  <c r="E96" i="1"/>
  <c r="E81" i="1"/>
  <c r="E104" i="1"/>
  <c r="E103" i="1"/>
  <c r="E89" i="1"/>
  <c r="G89" i="1" s="1"/>
  <c r="E88" i="1"/>
  <c r="F88" i="1" s="1"/>
  <c r="E87" i="1"/>
  <c r="F87" i="1" s="1"/>
  <c r="E93" i="1"/>
  <c r="E92" i="1"/>
  <c r="E91" i="1"/>
  <c r="F91" i="1" s="1"/>
  <c r="E97" i="1"/>
  <c r="F97" i="1" s="1"/>
  <c r="E95" i="1"/>
  <c r="G95" i="1" s="1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F95" i="11" l="1"/>
  <c r="F94" i="11"/>
  <c r="G97" i="11"/>
  <c r="F102" i="11"/>
  <c r="F86" i="11"/>
  <c r="G84" i="3"/>
  <c r="F90" i="9"/>
  <c r="F96" i="9"/>
  <c r="G92" i="9"/>
  <c r="G83" i="2"/>
  <c r="G82" i="8"/>
  <c r="F90" i="8"/>
  <c r="G93" i="8"/>
  <c r="F100" i="8"/>
  <c r="F101" i="8"/>
  <c r="F81" i="1"/>
  <c r="G81" i="1"/>
  <c r="F95" i="4"/>
  <c r="G95" i="4"/>
  <c r="G104" i="4"/>
  <c r="F104" i="4"/>
  <c r="F84" i="9"/>
  <c r="F86" i="3"/>
  <c r="G86" i="3"/>
  <c r="G92" i="3"/>
  <c r="F92" i="3"/>
  <c r="G104" i="11"/>
  <c r="F104" i="11"/>
  <c r="F99" i="11"/>
  <c r="G99" i="11"/>
  <c r="F102" i="9"/>
  <c r="F83" i="9"/>
  <c r="G84" i="11"/>
  <c r="F100" i="4"/>
  <c r="G84" i="4"/>
  <c r="F93" i="4"/>
  <c r="G94" i="4"/>
  <c r="G90" i="11"/>
  <c r="G92" i="11"/>
  <c r="F84" i="11"/>
  <c r="F89" i="11"/>
  <c r="G100" i="11"/>
  <c r="F97" i="11"/>
  <c r="G88" i="11"/>
  <c r="G83" i="11"/>
  <c r="G95" i="3"/>
  <c r="G89" i="3"/>
  <c r="F85" i="3"/>
  <c r="G82" i="3"/>
  <c r="G97" i="3"/>
  <c r="F99" i="3"/>
  <c r="F100" i="10"/>
  <c r="G85" i="9"/>
  <c r="F91" i="9"/>
  <c r="G84" i="9"/>
  <c r="G103" i="9"/>
  <c r="G102" i="9"/>
  <c r="F92" i="9"/>
  <c r="G98" i="2"/>
  <c r="F85" i="2"/>
  <c r="F100" i="2"/>
  <c r="F82" i="7"/>
  <c r="G90" i="7"/>
  <c r="G102" i="7"/>
  <c r="F95" i="7"/>
  <c r="F93" i="7"/>
  <c r="G89" i="7"/>
  <c r="G101" i="8"/>
  <c r="G100" i="8"/>
  <c r="G81" i="8"/>
  <c r="G96" i="8"/>
  <c r="G93" i="1"/>
  <c r="G94" i="1"/>
  <c r="F103" i="1"/>
  <c r="F90" i="1"/>
  <c r="F96" i="10"/>
  <c r="F84" i="10"/>
  <c r="G88" i="10"/>
  <c r="G104" i="10"/>
  <c r="G100" i="10"/>
  <c r="F93" i="10"/>
  <c r="G98" i="10"/>
  <c r="F101" i="10"/>
  <c r="F98" i="4"/>
  <c r="G89" i="4"/>
  <c r="G103" i="4"/>
  <c r="F103" i="4"/>
  <c r="G85" i="4"/>
  <c r="F85" i="4"/>
  <c r="G83" i="4"/>
  <c r="F83" i="4"/>
  <c r="F88" i="4"/>
  <c r="G81" i="4"/>
  <c r="F81" i="4"/>
  <c r="G101" i="4"/>
  <c r="F101" i="4"/>
  <c r="F90" i="4"/>
  <c r="F91" i="4"/>
  <c r="F102" i="4"/>
  <c r="F86" i="4"/>
  <c r="G99" i="4"/>
  <c r="F99" i="4"/>
  <c r="G97" i="4"/>
  <c r="F97" i="4"/>
  <c r="F96" i="4"/>
  <c r="G145" i="4"/>
  <c r="F145" i="4"/>
  <c r="G82" i="4"/>
  <c r="F82" i="4"/>
  <c r="F87" i="4"/>
  <c r="G92" i="4"/>
  <c r="F92" i="4"/>
  <c r="G104" i="19"/>
  <c r="F104" i="19"/>
  <c r="G81" i="19"/>
  <c r="F81" i="19"/>
  <c r="G93" i="19"/>
  <c r="F93" i="19"/>
  <c r="G82" i="19"/>
  <c r="F82" i="19"/>
  <c r="G83" i="19"/>
  <c r="F83" i="19"/>
  <c r="G95" i="19"/>
  <c r="F95" i="19"/>
  <c r="G145" i="19"/>
  <c r="F145" i="19"/>
  <c r="G84" i="19"/>
  <c r="F84" i="19"/>
  <c r="G96" i="19"/>
  <c r="F96" i="19"/>
  <c r="G94" i="19"/>
  <c r="F94" i="19"/>
  <c r="G85" i="19"/>
  <c r="F85" i="19"/>
  <c r="G97" i="19"/>
  <c r="F97" i="19"/>
  <c r="G86" i="19"/>
  <c r="F86" i="19"/>
  <c r="G98" i="19"/>
  <c r="F98" i="19"/>
  <c r="G92" i="19"/>
  <c r="F92" i="19"/>
  <c r="G87" i="19"/>
  <c r="F87" i="19"/>
  <c r="G99" i="19"/>
  <c r="F99" i="19"/>
  <c r="G100" i="19"/>
  <c r="F100" i="19"/>
  <c r="G89" i="19"/>
  <c r="F89" i="19"/>
  <c r="G101" i="19"/>
  <c r="F101" i="19"/>
  <c r="G88" i="19"/>
  <c r="F88" i="19"/>
  <c r="G90" i="19"/>
  <c r="F90" i="19"/>
  <c r="G102" i="19"/>
  <c r="F102" i="19"/>
  <c r="G91" i="19"/>
  <c r="F91" i="19"/>
  <c r="G103" i="19"/>
  <c r="F103" i="19"/>
  <c r="G103" i="13"/>
  <c r="F103" i="13"/>
  <c r="G92" i="13"/>
  <c r="F92" i="13"/>
  <c r="G104" i="13"/>
  <c r="F104" i="13"/>
  <c r="G81" i="13"/>
  <c r="F81" i="13"/>
  <c r="G93" i="13"/>
  <c r="F93" i="13"/>
  <c r="G145" i="13"/>
  <c r="F145" i="13"/>
  <c r="G82" i="13"/>
  <c r="F82" i="13"/>
  <c r="G94" i="13"/>
  <c r="F94" i="13"/>
  <c r="G83" i="13"/>
  <c r="F83" i="13"/>
  <c r="G95" i="13"/>
  <c r="F95" i="13"/>
  <c r="G84" i="13"/>
  <c r="F84" i="13"/>
  <c r="G96" i="13"/>
  <c r="F96" i="13"/>
  <c r="G85" i="13"/>
  <c r="F85" i="13"/>
  <c r="G97" i="13"/>
  <c r="F97" i="13"/>
  <c r="G86" i="13"/>
  <c r="F86" i="13"/>
  <c r="G98" i="13"/>
  <c r="F98" i="13"/>
  <c r="G87" i="13"/>
  <c r="F87" i="13"/>
  <c r="G99" i="13"/>
  <c r="F99" i="13"/>
  <c r="G100" i="13"/>
  <c r="F100" i="13"/>
  <c r="G88" i="13"/>
  <c r="F88" i="13"/>
  <c r="G101" i="13"/>
  <c r="F101" i="13"/>
  <c r="G90" i="13"/>
  <c r="F90" i="13"/>
  <c r="G89" i="13"/>
  <c r="F89" i="13"/>
  <c r="G102" i="13"/>
  <c r="F102" i="13"/>
  <c r="G91" i="13"/>
  <c r="F91" i="13"/>
  <c r="F83" i="11"/>
  <c r="F91" i="11"/>
  <c r="F100" i="11"/>
  <c r="G145" i="11"/>
  <c r="F145" i="11"/>
  <c r="F88" i="11"/>
  <c r="G92" i="20"/>
  <c r="F92" i="20"/>
  <c r="G104" i="20"/>
  <c r="F104" i="20"/>
  <c r="G93" i="20"/>
  <c r="F93" i="20"/>
  <c r="G105" i="20"/>
  <c r="F105" i="20"/>
  <c r="G106" i="20"/>
  <c r="F106" i="20"/>
  <c r="G107" i="20"/>
  <c r="F107" i="20"/>
  <c r="G96" i="20"/>
  <c r="F96" i="20"/>
  <c r="G108" i="20"/>
  <c r="F108" i="20"/>
  <c r="G95" i="20"/>
  <c r="F95" i="20"/>
  <c r="G97" i="20"/>
  <c r="F97" i="20"/>
  <c r="G109" i="20"/>
  <c r="F109" i="20"/>
  <c r="G94" i="20"/>
  <c r="F94" i="20"/>
  <c r="G98" i="20"/>
  <c r="F98" i="20"/>
  <c r="G110" i="20"/>
  <c r="F110" i="20"/>
  <c r="G99" i="20"/>
  <c r="F99" i="20"/>
  <c r="G111" i="20"/>
  <c r="F111" i="20"/>
  <c r="G100" i="20"/>
  <c r="F100" i="20"/>
  <c r="G112" i="20"/>
  <c r="F112" i="20"/>
  <c r="G101" i="20"/>
  <c r="F101" i="20"/>
  <c r="G153" i="20"/>
  <c r="F153" i="20"/>
  <c r="G89" i="20"/>
  <c r="F89" i="20"/>
  <c r="G90" i="20"/>
  <c r="F90" i="20"/>
  <c r="G102" i="20"/>
  <c r="F102" i="20"/>
  <c r="G91" i="20"/>
  <c r="F91" i="20"/>
  <c r="G103" i="20"/>
  <c r="F103" i="20"/>
  <c r="G99" i="3"/>
  <c r="G101" i="3"/>
  <c r="G102" i="3"/>
  <c r="F96" i="3"/>
  <c r="F91" i="3"/>
  <c r="F97" i="3"/>
  <c r="F88" i="3"/>
  <c r="F90" i="3"/>
  <c r="G103" i="3"/>
  <c r="G81" i="3"/>
  <c r="G94" i="3"/>
  <c r="F84" i="3"/>
  <c r="G82" i="18"/>
  <c r="F82" i="18"/>
  <c r="G95" i="18"/>
  <c r="F95" i="18"/>
  <c r="G84" i="18"/>
  <c r="F84" i="18"/>
  <c r="G96" i="18"/>
  <c r="F96" i="18"/>
  <c r="G145" i="18"/>
  <c r="F145" i="18"/>
  <c r="G85" i="18"/>
  <c r="F85" i="18"/>
  <c r="G97" i="18"/>
  <c r="F97" i="18"/>
  <c r="G86" i="18"/>
  <c r="F86" i="18"/>
  <c r="G98" i="18"/>
  <c r="F98" i="18"/>
  <c r="G87" i="18"/>
  <c r="F87" i="18"/>
  <c r="G99" i="18"/>
  <c r="F99" i="18"/>
  <c r="G88" i="18"/>
  <c r="F88" i="18"/>
  <c r="G100" i="18"/>
  <c r="F100" i="18"/>
  <c r="G89" i="18"/>
  <c r="F89" i="18"/>
  <c r="G101" i="18"/>
  <c r="F101" i="18"/>
  <c r="G90" i="18"/>
  <c r="F90" i="18"/>
  <c r="G102" i="18"/>
  <c r="F102" i="18"/>
  <c r="G91" i="18"/>
  <c r="F91" i="18"/>
  <c r="G103" i="18"/>
  <c r="F103" i="18"/>
  <c r="G92" i="18"/>
  <c r="F92" i="18"/>
  <c r="G104" i="18"/>
  <c r="F104" i="18"/>
  <c r="G93" i="18"/>
  <c r="F93" i="18"/>
  <c r="G81" i="18"/>
  <c r="F81" i="18"/>
  <c r="G94" i="18"/>
  <c r="F94" i="18"/>
  <c r="G83" i="18"/>
  <c r="F83" i="18"/>
  <c r="F87" i="3"/>
  <c r="G145" i="3"/>
  <c r="F145" i="3"/>
  <c r="G98" i="3"/>
  <c r="G100" i="3"/>
  <c r="F95" i="3"/>
  <c r="F103" i="3"/>
  <c r="F102" i="3"/>
  <c r="F93" i="3"/>
  <c r="F94" i="3"/>
  <c r="F101" i="3"/>
  <c r="F83" i="3"/>
  <c r="G104" i="3"/>
  <c r="F81" i="3"/>
  <c r="G83" i="21"/>
  <c r="F83" i="21"/>
  <c r="G95" i="21"/>
  <c r="F95" i="21"/>
  <c r="G84" i="21"/>
  <c r="F84" i="21"/>
  <c r="G96" i="21"/>
  <c r="F96" i="21"/>
  <c r="G85" i="21"/>
  <c r="F85" i="21"/>
  <c r="G97" i="21"/>
  <c r="F97" i="21"/>
  <c r="G86" i="21"/>
  <c r="F86" i="21"/>
  <c r="G98" i="21"/>
  <c r="F98" i="21"/>
  <c r="G82" i="21"/>
  <c r="F82" i="21"/>
  <c r="G87" i="21"/>
  <c r="F87" i="21"/>
  <c r="G99" i="21"/>
  <c r="F99" i="21"/>
  <c r="G88" i="21"/>
  <c r="F88" i="21"/>
  <c r="G100" i="21"/>
  <c r="F100" i="21"/>
  <c r="G89" i="21"/>
  <c r="F89" i="21"/>
  <c r="G101" i="21"/>
  <c r="F101" i="21"/>
  <c r="G145" i="21"/>
  <c r="F145" i="21"/>
  <c r="G94" i="21"/>
  <c r="F94" i="21"/>
  <c r="G90" i="21"/>
  <c r="F90" i="21"/>
  <c r="G102" i="21"/>
  <c r="F102" i="21"/>
  <c r="G91" i="21"/>
  <c r="F91" i="21"/>
  <c r="G103" i="21"/>
  <c r="F103" i="21"/>
  <c r="G92" i="21"/>
  <c r="F92" i="21"/>
  <c r="G104" i="21"/>
  <c r="F104" i="21"/>
  <c r="G81" i="21"/>
  <c r="F81" i="21"/>
  <c r="G93" i="21"/>
  <c r="F93" i="21"/>
  <c r="F104" i="10"/>
  <c r="F103" i="10"/>
  <c r="F98" i="10"/>
  <c r="G87" i="10"/>
  <c r="F88" i="10"/>
  <c r="G84" i="10"/>
  <c r="F102" i="10"/>
  <c r="F90" i="10"/>
  <c r="G82" i="10"/>
  <c r="F83" i="10"/>
  <c r="F86" i="10"/>
  <c r="F94" i="10"/>
  <c r="F92" i="10"/>
  <c r="F85" i="10"/>
  <c r="G99" i="10"/>
  <c r="F87" i="10"/>
  <c r="G95" i="10"/>
  <c r="G93" i="10"/>
  <c r="G96" i="10"/>
  <c r="G81" i="10"/>
  <c r="G91" i="10"/>
  <c r="G102" i="10"/>
  <c r="G83" i="10"/>
  <c r="G101" i="10"/>
  <c r="F99" i="10"/>
  <c r="G89" i="10"/>
  <c r="G90" i="10"/>
  <c r="F91" i="10"/>
  <c r="F97" i="10"/>
  <c r="G94" i="10"/>
  <c r="F95" i="10"/>
  <c r="G92" i="10"/>
  <c r="G85" i="10"/>
  <c r="G86" i="10"/>
  <c r="G97" i="10"/>
  <c r="F89" i="10"/>
  <c r="F82" i="10"/>
  <c r="F81" i="10"/>
  <c r="F104" i="9"/>
  <c r="F97" i="9"/>
  <c r="G104" i="9"/>
  <c r="G100" i="9"/>
  <c r="F100" i="9"/>
  <c r="G88" i="9"/>
  <c r="F88" i="9"/>
  <c r="G101" i="9"/>
  <c r="F101" i="9"/>
  <c r="G89" i="9"/>
  <c r="F89" i="9"/>
  <c r="G98" i="9"/>
  <c r="F98" i="9"/>
  <c r="G94" i="9"/>
  <c r="F94" i="9"/>
  <c r="G86" i="9"/>
  <c r="F86" i="9"/>
  <c r="G82" i="9"/>
  <c r="F82" i="9"/>
  <c r="G99" i="9"/>
  <c r="F99" i="9"/>
  <c r="G93" i="9"/>
  <c r="F93" i="9"/>
  <c r="G87" i="9"/>
  <c r="F87" i="9"/>
  <c r="G81" i="9"/>
  <c r="F81" i="9"/>
  <c r="G145" i="9"/>
  <c r="F145" i="9"/>
  <c r="G89" i="17"/>
  <c r="F89" i="17"/>
  <c r="G101" i="17"/>
  <c r="F101" i="17"/>
  <c r="G90" i="17"/>
  <c r="F90" i="17"/>
  <c r="G102" i="17"/>
  <c r="F102" i="17"/>
  <c r="G145" i="17"/>
  <c r="F145" i="17"/>
  <c r="G91" i="17"/>
  <c r="F91" i="17"/>
  <c r="G103" i="17"/>
  <c r="F103" i="17"/>
  <c r="G104" i="17"/>
  <c r="F104" i="17"/>
  <c r="G92" i="17"/>
  <c r="F92" i="17"/>
  <c r="G93" i="17"/>
  <c r="F93" i="17"/>
  <c r="G82" i="17"/>
  <c r="F82" i="17"/>
  <c r="G94" i="17"/>
  <c r="F94" i="17"/>
  <c r="G83" i="17"/>
  <c r="F83" i="17"/>
  <c r="G95" i="17"/>
  <c r="F95" i="17"/>
  <c r="G86" i="17"/>
  <c r="F86" i="17"/>
  <c r="G81" i="17"/>
  <c r="F81" i="17"/>
  <c r="G84" i="17"/>
  <c r="F84" i="17"/>
  <c r="G96" i="17"/>
  <c r="F96" i="17"/>
  <c r="G85" i="17"/>
  <c r="F85" i="17"/>
  <c r="G97" i="17"/>
  <c r="F97" i="17"/>
  <c r="G98" i="17"/>
  <c r="F98" i="17"/>
  <c r="G87" i="17"/>
  <c r="F87" i="17"/>
  <c r="G99" i="17"/>
  <c r="F99" i="17"/>
  <c r="G88" i="17"/>
  <c r="F88" i="17"/>
  <c r="G100" i="17"/>
  <c r="F100" i="17"/>
  <c r="G93" i="2"/>
  <c r="F93" i="2"/>
  <c r="G97" i="2"/>
  <c r="F97" i="2"/>
  <c r="G99" i="2"/>
  <c r="F99" i="2"/>
  <c r="G90" i="2"/>
  <c r="F90" i="2"/>
  <c r="G92" i="2"/>
  <c r="F92" i="2"/>
  <c r="G145" i="2"/>
  <c r="F145" i="2"/>
  <c r="G86" i="2"/>
  <c r="F86" i="2"/>
  <c r="G88" i="2"/>
  <c r="F88" i="2"/>
  <c r="G95" i="2"/>
  <c r="F95" i="2"/>
  <c r="G91" i="16"/>
  <c r="F91" i="16"/>
  <c r="G83" i="16"/>
  <c r="F83" i="16"/>
  <c r="G95" i="16"/>
  <c r="F95" i="16"/>
  <c r="G85" i="16"/>
  <c r="F85" i="16"/>
  <c r="G97" i="16"/>
  <c r="F97" i="16"/>
  <c r="G96" i="16"/>
  <c r="F96" i="16"/>
  <c r="G86" i="16"/>
  <c r="F86" i="16"/>
  <c r="G98" i="16"/>
  <c r="F98" i="16"/>
  <c r="G145" i="16"/>
  <c r="F145" i="16"/>
  <c r="G87" i="16"/>
  <c r="F87" i="16"/>
  <c r="G99" i="16"/>
  <c r="F99" i="16"/>
  <c r="G88" i="16"/>
  <c r="F88" i="16"/>
  <c r="G100" i="16"/>
  <c r="F100" i="16"/>
  <c r="G89" i="16"/>
  <c r="F89" i="16"/>
  <c r="G101" i="16"/>
  <c r="F101" i="16"/>
  <c r="G84" i="16"/>
  <c r="F84" i="16"/>
  <c r="G90" i="16"/>
  <c r="F90" i="16"/>
  <c r="G102" i="16"/>
  <c r="F102" i="16"/>
  <c r="G103" i="16"/>
  <c r="F103" i="16"/>
  <c r="G92" i="16"/>
  <c r="F92" i="16"/>
  <c r="G104" i="16"/>
  <c r="F104" i="16"/>
  <c r="G81" i="16"/>
  <c r="F81" i="16"/>
  <c r="G93" i="16"/>
  <c r="F93" i="16"/>
  <c r="G82" i="16"/>
  <c r="F82" i="16"/>
  <c r="G94" i="16"/>
  <c r="F94" i="16"/>
  <c r="G85" i="15"/>
  <c r="F85" i="15"/>
  <c r="F84" i="15"/>
  <c r="G84" i="15"/>
  <c r="G96" i="15"/>
  <c r="F96" i="15"/>
  <c r="G86" i="15"/>
  <c r="F86" i="15"/>
  <c r="G98" i="15"/>
  <c r="F98" i="15"/>
  <c r="G87" i="15"/>
  <c r="F87" i="15"/>
  <c r="G99" i="15"/>
  <c r="F99" i="15"/>
  <c r="G88" i="15"/>
  <c r="F88" i="15"/>
  <c r="G89" i="15"/>
  <c r="F89" i="15"/>
  <c r="G101" i="15"/>
  <c r="F101" i="15"/>
  <c r="F90" i="15"/>
  <c r="G90" i="15"/>
  <c r="F102" i="15"/>
  <c r="G102" i="15"/>
  <c r="G97" i="15"/>
  <c r="F97" i="15"/>
  <c r="G100" i="15"/>
  <c r="F100" i="15"/>
  <c r="G91" i="15"/>
  <c r="F91" i="15"/>
  <c r="G103" i="15"/>
  <c r="F103" i="15"/>
  <c r="G104" i="15"/>
  <c r="F104" i="15"/>
  <c r="G81" i="15"/>
  <c r="F81" i="15"/>
  <c r="G93" i="15"/>
  <c r="F93" i="15"/>
  <c r="G82" i="15"/>
  <c r="F82" i="15"/>
  <c r="G94" i="15"/>
  <c r="F94" i="15"/>
  <c r="G92" i="15"/>
  <c r="F92" i="15"/>
  <c r="G83" i="15"/>
  <c r="F83" i="15"/>
  <c r="G95" i="15"/>
  <c r="F95" i="15"/>
  <c r="G145" i="15"/>
  <c r="F145" i="15"/>
  <c r="F101" i="7"/>
  <c r="F102" i="7"/>
  <c r="F104" i="7"/>
  <c r="G104" i="7"/>
  <c r="G103" i="7"/>
  <c r="F103" i="7"/>
  <c r="G91" i="7"/>
  <c r="F91" i="7"/>
  <c r="F98" i="7"/>
  <c r="G98" i="7"/>
  <c r="G83" i="7"/>
  <c r="F83" i="7"/>
  <c r="G84" i="7"/>
  <c r="F84" i="7"/>
  <c r="G145" i="7"/>
  <c r="F145" i="7"/>
  <c r="G99" i="7"/>
  <c r="F99" i="7"/>
  <c r="G95" i="7"/>
  <c r="G85" i="7"/>
  <c r="F85" i="7"/>
  <c r="F90" i="7"/>
  <c r="F86" i="7"/>
  <c r="G86" i="7"/>
  <c r="G97" i="7"/>
  <c r="F97" i="7"/>
  <c r="G87" i="7"/>
  <c r="F87" i="7"/>
  <c r="F92" i="7"/>
  <c r="G92" i="7"/>
  <c r="G96" i="7"/>
  <c r="F96" i="7"/>
  <c r="F96" i="8"/>
  <c r="G103" i="8"/>
  <c r="F97" i="8"/>
  <c r="G88" i="8"/>
  <c r="F98" i="8"/>
  <c r="F81" i="8"/>
  <c r="G85" i="8"/>
  <c r="G104" i="8"/>
  <c r="F104" i="8"/>
  <c r="G92" i="8"/>
  <c r="F92" i="8"/>
  <c r="F145" i="8"/>
  <c r="G145" i="8"/>
  <c r="G95" i="8"/>
  <c r="F95" i="8"/>
  <c r="G83" i="8"/>
  <c r="F83" i="8"/>
  <c r="G84" i="8"/>
  <c r="F84" i="8"/>
  <c r="G104" i="1"/>
  <c r="G96" i="1"/>
  <c r="F92" i="1"/>
  <c r="F100" i="1"/>
  <c r="G87" i="1"/>
  <c r="F93" i="1"/>
  <c r="G82" i="1"/>
  <c r="F98" i="1"/>
  <c r="F96" i="1"/>
  <c r="G88" i="1"/>
  <c r="G102" i="1"/>
  <c r="G86" i="14"/>
  <c r="F86" i="14"/>
  <c r="G87" i="14"/>
  <c r="F87" i="14"/>
  <c r="G88" i="14"/>
  <c r="F88" i="14"/>
  <c r="G100" i="14"/>
  <c r="F100" i="14"/>
  <c r="G89" i="14"/>
  <c r="F89" i="14"/>
  <c r="G101" i="14"/>
  <c r="F101" i="14"/>
  <c r="F90" i="14"/>
  <c r="G90" i="14"/>
  <c r="G91" i="14"/>
  <c r="F91" i="14"/>
  <c r="G103" i="14"/>
  <c r="F103" i="14"/>
  <c r="G92" i="14"/>
  <c r="F92" i="14"/>
  <c r="G104" i="14"/>
  <c r="F104" i="14"/>
  <c r="F102" i="14"/>
  <c r="G102" i="14"/>
  <c r="G81" i="14"/>
  <c r="F81" i="14"/>
  <c r="G93" i="14"/>
  <c r="F93" i="14"/>
  <c r="G82" i="14"/>
  <c r="F82" i="14"/>
  <c r="G94" i="14"/>
  <c r="F94" i="14"/>
  <c r="G83" i="14"/>
  <c r="F83" i="14"/>
  <c r="G95" i="14"/>
  <c r="F95" i="14"/>
  <c r="F84" i="14"/>
  <c r="G84" i="14"/>
  <c r="F96" i="14"/>
  <c r="G96" i="14"/>
  <c r="G97" i="14"/>
  <c r="F97" i="14"/>
  <c r="G85" i="14"/>
  <c r="F85" i="14"/>
  <c r="G98" i="14"/>
  <c r="F98" i="14"/>
  <c r="G99" i="14"/>
  <c r="F99" i="14"/>
  <c r="G145" i="14"/>
  <c r="F145" i="14"/>
  <c r="F95" i="1"/>
  <c r="F104" i="1"/>
  <c r="F83" i="1"/>
  <c r="G84" i="1"/>
  <c r="G97" i="1"/>
  <c r="G100" i="1"/>
  <c r="G103" i="1"/>
  <c r="G90" i="1"/>
  <c r="G86" i="1"/>
  <c r="F89" i="1"/>
  <c r="G91" i="1"/>
  <c r="G85" i="1"/>
  <c r="F101" i="1"/>
  <c r="G99" i="1"/>
  <c r="G92" i="1"/>
  <c r="G145" i="10"/>
  <c r="F145" i="10"/>
</calcChain>
</file>

<file path=xl/sharedStrings.xml><?xml version="1.0" encoding="utf-8"?>
<sst xmlns="http://schemas.openxmlformats.org/spreadsheetml/2006/main" count="2914" uniqueCount="259">
  <si>
    <t>No</t>
  </si>
  <si>
    <t>Electrode ID (P-porous, M-medium, D-dense)</t>
  </si>
  <si>
    <t>Calendering conditions</t>
  </si>
  <si>
    <t>Roll temperature (°C)</t>
  </si>
  <si>
    <t>Target density (g/cm3)</t>
  </si>
  <si>
    <t>Calculated target porosity (%)</t>
  </si>
  <si>
    <t>NEX_CAT_240_L_85_P</t>
  </si>
  <si>
    <t>NEX_CAT_240_L_85_M</t>
  </si>
  <si>
    <t>NEX_CAT_240_L_85_D</t>
  </si>
  <si>
    <t>NEX_CAT_240_L_120_P</t>
  </si>
  <si>
    <t>NEX_CAT_240_L_120_M</t>
  </si>
  <si>
    <t>NEX_CAT_240_L_120_D</t>
  </si>
  <si>
    <t>NEX_CAT_240_L_145_P</t>
  </si>
  <si>
    <t>NEX_CAT_240_L_145_M</t>
  </si>
  <si>
    <t>NEX_CAT_240_L_145_D</t>
  </si>
  <si>
    <t>NEX_CAT_240_H_85_P</t>
  </si>
  <si>
    <t>NEX_CAT_240_H_85_M</t>
  </si>
  <si>
    <t>NEX_CAT_240_H_85_D</t>
  </si>
  <si>
    <t>NEX_CAT_240_H_120_P</t>
  </si>
  <si>
    <t>NEX_CAT_240_H_120_M</t>
  </si>
  <si>
    <t>NEX_CAT_240_H_120_D</t>
  </si>
  <si>
    <t>NEX_CAT_240_H_145_P</t>
  </si>
  <si>
    <t>NEX_CAT_240_H_145_M</t>
  </si>
  <si>
    <t>NEX_CAT_240_H_145_D</t>
  </si>
  <si>
    <t>Electrode and cell details</t>
  </si>
  <si>
    <t>Cathode cell ID</t>
  </si>
  <si>
    <t>DD001</t>
  </si>
  <si>
    <t>DD002</t>
  </si>
  <si>
    <t>DD056</t>
  </si>
  <si>
    <t xml:space="preserve">Mean </t>
  </si>
  <si>
    <t>Standard deviation</t>
  </si>
  <si>
    <t>Electrolyte type</t>
  </si>
  <si>
    <t>Solvionic 1M LiPF6 in EC/EMC 3/7 v/v + 1 wt% VC</t>
  </si>
  <si>
    <t>Electrolyte volume (ul)</t>
  </si>
  <si>
    <t>Separator type</t>
  </si>
  <si>
    <t>H1609, 16 mm</t>
  </si>
  <si>
    <t>Crimping pressure (Tons)</t>
  </si>
  <si>
    <t>Spacers total thickness (mm)</t>
  </si>
  <si>
    <t>2 x 0.5</t>
  </si>
  <si>
    <t>Soaking time (h)</t>
  </si>
  <si>
    <t>Cathode coating ID</t>
  </si>
  <si>
    <t>L_85_P_4</t>
  </si>
  <si>
    <t>L_85_P_7</t>
  </si>
  <si>
    <t>L_85_P_2</t>
  </si>
  <si>
    <t>Active material</t>
  </si>
  <si>
    <t>NMC622 (BASF)</t>
  </si>
  <si>
    <t>Dry composition (%)</t>
  </si>
  <si>
    <t>Capacity of active -powder form (mAh/g)</t>
  </si>
  <si>
    <t>Total mass (g)</t>
  </si>
  <si>
    <t>Total thickness (um)</t>
  </si>
  <si>
    <t>Bare Al foil mass (g)</t>
  </si>
  <si>
    <t>Al foil thickness (um)</t>
  </si>
  <si>
    <t>Area (cm2)</t>
  </si>
  <si>
    <t>Theoretical density at 0% porosity (g/cm3)</t>
  </si>
  <si>
    <t>Coating mass (g)</t>
  </si>
  <si>
    <t>Expected capacity (mAh)</t>
  </si>
  <si>
    <t>Expected areal capacity (mAh/cm2)</t>
  </si>
  <si>
    <t>Coating thickness (um)</t>
  </si>
  <si>
    <t>Coating weight (g/m2)</t>
  </si>
  <si>
    <t>Density (g/cm3)</t>
  </si>
  <si>
    <t>Porosity (%)</t>
  </si>
  <si>
    <t>Active material mass (g)</t>
  </si>
  <si>
    <t>Testing procedure</t>
  </si>
  <si>
    <t>NEX_CAT_half_dec_21</t>
  </si>
  <si>
    <t>Testing equipment</t>
  </si>
  <si>
    <t>BCS3</t>
  </si>
  <si>
    <t>BCS2</t>
  </si>
  <si>
    <t>Channel</t>
  </si>
  <si>
    <t>G6</t>
  </si>
  <si>
    <t>G7</t>
  </si>
  <si>
    <t>B5</t>
  </si>
  <si>
    <t>V after assembly (V)</t>
  </si>
  <si>
    <t>Capacity Charge (mAh)</t>
  </si>
  <si>
    <t>At C/20</t>
  </si>
  <si>
    <t>At C/5- 1</t>
  </si>
  <si>
    <t>At C/5- 2</t>
  </si>
  <si>
    <t>At C/5- 3</t>
  </si>
  <si>
    <t>At C/5- 4</t>
  </si>
  <si>
    <t>At C/5- 5</t>
  </si>
  <si>
    <t>At C/5- 6</t>
  </si>
  <si>
    <t>At C/5</t>
  </si>
  <si>
    <t>Capacity Discharge (mAh)</t>
  </si>
  <si>
    <t>At C/2</t>
  </si>
  <si>
    <t>At C</t>
  </si>
  <si>
    <t>At 2C</t>
  </si>
  <si>
    <t>At 5C</t>
  </si>
  <si>
    <t>At 10C</t>
  </si>
  <si>
    <t xml:space="preserve">ASI Charge (Ohm cm2) </t>
  </si>
  <si>
    <t xml:space="preserve">ASI Discharge (Ohm cm2) </t>
  </si>
  <si>
    <t>Mass for Normalisation: active material mass (g)</t>
  </si>
  <si>
    <t>Gravimetric Charge Capacity (mAh/g)</t>
  </si>
  <si>
    <t>Gravimetric Discharge Capacity (mAh/g)</t>
  </si>
  <si>
    <t> </t>
  </si>
  <si>
    <t>Rate charge 5C:0.2C</t>
  </si>
  <si>
    <t>First cycle loss (%)</t>
  </si>
  <si>
    <t>Volume for Normalisation: (cm3)</t>
  </si>
  <si>
    <t>Volumetric Charge Capacity (mAh/cm3)</t>
  </si>
  <si>
    <t>Volumetric Discharge Capacity (mAh/cm3)</t>
  </si>
  <si>
    <t>Data for input info</t>
  </si>
  <si>
    <t>CellID</t>
  </si>
  <si>
    <t>ActiveMass_g</t>
  </si>
  <si>
    <t>Group</t>
  </si>
  <si>
    <t>ChargingCrate</t>
  </si>
  <si>
    <t>FormationCycles</t>
  </si>
  <si>
    <t>Thickness_um</t>
  </si>
  <si>
    <t>Area_cm2</t>
  </si>
  <si>
    <t>CoatWeight_GSM</t>
  </si>
  <si>
    <t>Porosity_%</t>
  </si>
  <si>
    <t>Calender temperature_oC</t>
  </si>
  <si>
    <t>Cycling</t>
  </si>
  <si>
    <t>Capacity at C/10 (cycle 0)</t>
  </si>
  <si>
    <t>Capacity at C/2 (cycle 1)</t>
  </si>
  <si>
    <t>Capacity at C/2 (cycle 50)</t>
  </si>
  <si>
    <t>Capacity at C/10 (cycle 51)</t>
  </si>
  <si>
    <t>DD032</t>
  </si>
  <si>
    <t>DD033</t>
  </si>
  <si>
    <t>DD034</t>
  </si>
  <si>
    <t>0.9</t>
  </si>
  <si>
    <t>L_85_M_6</t>
  </si>
  <si>
    <t>L_85_M_1</t>
  </si>
  <si>
    <t>L_85_M_9</t>
  </si>
  <si>
    <t>BCS7</t>
  </si>
  <si>
    <t>BCS8</t>
  </si>
  <si>
    <t>C1</t>
  </si>
  <si>
    <t>C2</t>
  </si>
  <si>
    <t>C3</t>
  </si>
  <si>
    <t>DD020</t>
  </si>
  <si>
    <t>DD021</t>
  </si>
  <si>
    <t>DD022</t>
  </si>
  <si>
    <t>L_85_D_8</t>
  </si>
  <si>
    <t>L_85_D_12</t>
  </si>
  <si>
    <t>L_85_D_5</t>
  </si>
  <si>
    <t>G8</t>
  </si>
  <si>
    <t>F6</t>
  </si>
  <si>
    <t>DD013</t>
  </si>
  <si>
    <t>DD015</t>
  </si>
  <si>
    <t>DD057</t>
  </si>
  <si>
    <t>L_120_P_2</t>
  </si>
  <si>
    <t>L_120_P_3</t>
  </si>
  <si>
    <t>L_120_P_9</t>
  </si>
  <si>
    <t>BCS1, BCS3</t>
  </si>
  <si>
    <t>BCS1</t>
  </si>
  <si>
    <t>B1, E8</t>
  </si>
  <si>
    <t>B3</t>
  </si>
  <si>
    <t>B7</t>
  </si>
  <si>
    <t>DD035</t>
  </si>
  <si>
    <t>DD036</t>
  </si>
  <si>
    <t>DD037</t>
  </si>
  <si>
    <t>0.95</t>
  </si>
  <si>
    <t>L_120_M_6</t>
  </si>
  <si>
    <t>L_120_M_5</t>
  </si>
  <si>
    <t>L_120_M_7</t>
  </si>
  <si>
    <t>C4</t>
  </si>
  <si>
    <t>C5</t>
  </si>
  <si>
    <t>C6</t>
  </si>
  <si>
    <t>DD038</t>
  </si>
  <si>
    <t>DD039</t>
  </si>
  <si>
    <t>DD040</t>
  </si>
  <si>
    <t>L_120_D_4</t>
  </si>
  <si>
    <t>L_120_D_2</t>
  </si>
  <si>
    <t>L_120_D_3</t>
  </si>
  <si>
    <t>C7</t>
  </si>
  <si>
    <t>C8</t>
  </si>
  <si>
    <t>D5</t>
  </si>
  <si>
    <t>DD004</t>
  </si>
  <si>
    <t>DD005</t>
  </si>
  <si>
    <t>DD006</t>
  </si>
  <si>
    <t>L_145_P_1</t>
  </si>
  <si>
    <t>L_145_P_3</t>
  </si>
  <si>
    <t>L_145_P_2</t>
  </si>
  <si>
    <t>E1</t>
  </si>
  <si>
    <t>DD041</t>
  </si>
  <si>
    <t>DD042</t>
  </si>
  <si>
    <t>DD043</t>
  </si>
  <si>
    <t>L_145_M_1</t>
  </si>
  <si>
    <t>L_145_M_7</t>
  </si>
  <si>
    <t>L_145_M_9</t>
  </si>
  <si>
    <t>D6</t>
  </si>
  <si>
    <t>D7</t>
  </si>
  <si>
    <t>D8</t>
  </si>
  <si>
    <t>DD023</t>
  </si>
  <si>
    <t>DD024</t>
  </si>
  <si>
    <t>DD025</t>
  </si>
  <si>
    <t>L_145_D_3</t>
  </si>
  <si>
    <t>L_145_D_8</t>
  </si>
  <si>
    <t>L_145_D_9</t>
  </si>
  <si>
    <t>F7</t>
  </si>
  <si>
    <t>E7</t>
  </si>
  <si>
    <t>DD059</t>
  </si>
  <si>
    <t>DD027</t>
  </si>
  <si>
    <t>DD028</t>
  </si>
  <si>
    <t>H_85_P_2</t>
  </si>
  <si>
    <t>H_85_P_7</t>
  </si>
  <si>
    <t>H_85_P_5</t>
  </si>
  <si>
    <t>B2</t>
  </si>
  <si>
    <t>DD053</t>
  </si>
  <si>
    <t>DD055</t>
  </si>
  <si>
    <t>DD058</t>
  </si>
  <si>
    <t>H_85_M_1</t>
  </si>
  <si>
    <t>H_85_M_5</t>
  </si>
  <si>
    <t>H_85_M_7</t>
  </si>
  <si>
    <t>B8</t>
  </si>
  <si>
    <t>DD007</t>
  </si>
  <si>
    <t>DD008</t>
  </si>
  <si>
    <t>DD009</t>
  </si>
  <si>
    <t>H_85_D_7</t>
  </si>
  <si>
    <t>H_85_D_8</t>
  </si>
  <si>
    <t>H_85_D_14</t>
  </si>
  <si>
    <t>DD050</t>
  </si>
  <si>
    <t>DD051</t>
  </si>
  <si>
    <t>DD052</t>
  </si>
  <si>
    <t>H_120_P_1</t>
  </si>
  <si>
    <t>H_120_P_11</t>
  </si>
  <si>
    <t>H_120_P_5</t>
  </si>
  <si>
    <t>F8</t>
  </si>
  <si>
    <t>DD047</t>
  </si>
  <si>
    <t>DD048</t>
  </si>
  <si>
    <t>DD049</t>
  </si>
  <si>
    <t>Experiment number</t>
  </si>
  <si>
    <t>Assembly date</t>
  </si>
  <si>
    <t>Electrolyte -decanted date</t>
  </si>
  <si>
    <t>Electrolyte- opened date</t>
  </si>
  <si>
    <t>H_120_M_5</t>
  </si>
  <si>
    <t>H_120_M_2</t>
  </si>
  <si>
    <t>H_120_M_3</t>
  </si>
  <si>
    <t>F5</t>
  </si>
  <si>
    <t>DD016</t>
  </si>
  <si>
    <t>DD017</t>
  </si>
  <si>
    <t>DD018</t>
  </si>
  <si>
    <t>H_120_D_7</t>
  </si>
  <si>
    <t>H_120_D_6</t>
  </si>
  <si>
    <t>H_120_D_1</t>
  </si>
  <si>
    <t>G1</t>
  </si>
  <si>
    <t>DD029</t>
  </si>
  <si>
    <t>DD030</t>
  </si>
  <si>
    <t>DD031</t>
  </si>
  <si>
    <t>H_145_P_2</t>
  </si>
  <si>
    <t>H_145_P_1</t>
  </si>
  <si>
    <t>H_145_P_8</t>
  </si>
  <si>
    <t>BCS4</t>
  </si>
  <si>
    <t>A3</t>
  </si>
  <si>
    <t>A6</t>
  </si>
  <si>
    <t>H6</t>
  </si>
  <si>
    <t>DD044</t>
  </si>
  <si>
    <t>DD045</t>
  </si>
  <si>
    <t>DD046</t>
  </si>
  <si>
    <t>H_145_M_7</t>
  </si>
  <si>
    <t>H_145_M_1</t>
  </si>
  <si>
    <t>H_145_M_8</t>
  </si>
  <si>
    <t>E2</t>
  </si>
  <si>
    <t>E3</t>
  </si>
  <si>
    <t>DD010</t>
  </si>
  <si>
    <t>DD011</t>
  </si>
  <si>
    <t>DD012</t>
  </si>
  <si>
    <t>H_145_D_7</t>
  </si>
  <si>
    <t>H_145_D_8</t>
  </si>
  <si>
    <t>H_145_D_9</t>
  </si>
  <si>
    <t>A2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</si>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</sst>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_ ;\-#,##0.000\ "/>
  </numFmts>
  <fonts count="1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A7D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indexed="64"/>
      </patternFill>
    </fill>
  </fills>
  <borders count="7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4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4" xfId="0" applyBorder="1"/>
    <xf numFmtId="0" fontId="0" fillId="4" borderId="0" xfId="0" applyFill="1"/>
    <xf numFmtId="14" fontId="0" fillId="0" borderId="0" xfId="0" applyNumberFormat="1"/>
    <xf numFmtId="14" fontId="6" fillId="0" borderId="0" xfId="0" applyNumberFormat="1" applyFont="1"/>
    <xf numFmtId="0" fontId="2" fillId="0" borderId="0" xfId="0" applyFont="1"/>
    <xf numFmtId="2" fontId="0" fillId="0" borderId="0" xfId="0" applyNumberFormat="1"/>
    <xf numFmtId="0" fontId="7" fillId="0" borderId="0" xfId="0" applyFont="1"/>
    <xf numFmtId="0" fontId="1" fillId="2" borderId="0" xfId="1" applyBorder="1" applyAlignment="1">
      <alignment wrapText="1"/>
    </xf>
    <xf numFmtId="0" fontId="1" fillId="9" borderId="0" xfId="1" applyFill="1" applyBorder="1"/>
    <xf numFmtId="0" fontId="1" fillId="2" borderId="0" xfId="1" applyBorder="1"/>
    <xf numFmtId="0" fontId="1" fillId="10" borderId="0" xfId="1" applyFill="1" applyBorder="1"/>
    <xf numFmtId="0" fontId="0" fillId="0" borderId="0" xfId="0" applyAlignment="1">
      <alignment wrapText="1"/>
    </xf>
    <xf numFmtId="0" fontId="2" fillId="3" borderId="9" xfId="0" applyFont="1" applyFill="1" applyBorder="1"/>
    <xf numFmtId="0" fontId="2" fillId="5" borderId="10" xfId="0" applyFont="1" applyFill="1" applyBorder="1"/>
    <xf numFmtId="0" fontId="2" fillId="0" borderId="10" xfId="0" applyFont="1" applyBorder="1"/>
    <xf numFmtId="0" fontId="2" fillId="6" borderId="10" xfId="0" applyFont="1" applyFill="1" applyBorder="1"/>
    <xf numFmtId="0" fontId="2" fillId="7" borderId="10" xfId="0" applyFont="1" applyFill="1" applyBorder="1"/>
    <xf numFmtId="0" fontId="2" fillId="8" borderId="10" xfId="0" applyFont="1" applyFill="1" applyBorder="1" applyAlignment="1">
      <alignment wrapText="1"/>
    </xf>
    <xf numFmtId="0" fontId="1" fillId="2" borderId="10" xfId="1" applyBorder="1" applyAlignment="1"/>
    <xf numFmtId="0" fontId="1" fillId="9" borderId="10" xfId="1" applyFill="1" applyBorder="1" applyAlignment="1"/>
    <xf numFmtId="0" fontId="1" fillId="10" borderId="10" xfId="1" applyFill="1" applyBorder="1" applyAlignment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8" fillId="0" borderId="13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9" fontId="8" fillId="0" borderId="13" xfId="0" applyNumberFormat="1" applyFont="1" applyBorder="1" applyAlignment="1">
      <alignment wrapText="1"/>
    </xf>
    <xf numFmtId="9" fontId="8" fillId="0" borderId="15" xfId="0" applyNumberFormat="1" applyFont="1" applyBorder="1" applyAlignment="1">
      <alignment wrapText="1"/>
    </xf>
    <xf numFmtId="9" fontId="8" fillId="0" borderId="16" xfId="0" applyNumberFormat="1" applyFont="1" applyBorder="1" applyAlignment="1">
      <alignment wrapText="1"/>
    </xf>
    <xf numFmtId="0" fontId="1" fillId="0" borderId="17" xfId="1" applyFill="1" applyBorder="1"/>
    <xf numFmtId="9" fontId="8" fillId="0" borderId="18" xfId="0" applyNumberFormat="1" applyFont="1" applyBorder="1" applyAlignment="1">
      <alignment wrapText="1"/>
    </xf>
    <xf numFmtId="0" fontId="0" fillId="0" borderId="17" xfId="0" applyBorder="1"/>
    <xf numFmtId="0" fontId="9" fillId="13" borderId="8" xfId="0" applyFont="1" applyFill="1" applyBorder="1"/>
    <xf numFmtId="0" fontId="9" fillId="13" borderId="15" xfId="0" applyFont="1" applyFill="1" applyBorder="1" applyAlignment="1">
      <alignment wrapText="1"/>
    </xf>
    <xf numFmtId="0" fontId="9" fillId="13" borderId="16" xfId="0" applyFont="1" applyFill="1" applyBorder="1" applyAlignment="1">
      <alignment wrapText="1"/>
    </xf>
    <xf numFmtId="0" fontId="9" fillId="13" borderId="13" xfId="0" applyFont="1" applyFill="1" applyBorder="1" applyAlignment="1">
      <alignment wrapText="1"/>
    </xf>
    <xf numFmtId="0" fontId="0" fillId="0" borderId="18" xfId="0" applyBorder="1"/>
    <xf numFmtId="0" fontId="8" fillId="0" borderId="19" xfId="0" applyFont="1" applyBorder="1" applyAlignment="1">
      <alignment wrapText="1"/>
    </xf>
    <xf numFmtId="0" fontId="9" fillId="13" borderId="18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2" borderId="8" xfId="1" applyBorder="1" applyAlignment="1"/>
    <xf numFmtId="0" fontId="2" fillId="11" borderId="0" xfId="0" applyFont="1" applyFill="1" applyAlignment="1">
      <alignment horizontal="center" textRotation="90" wrapText="1"/>
    </xf>
    <xf numFmtId="0" fontId="10" fillId="14" borderId="20" xfId="0" applyFont="1" applyFill="1" applyBorder="1"/>
    <xf numFmtId="0" fontId="10" fillId="15" borderId="21" xfId="0" applyFont="1" applyFill="1" applyBorder="1"/>
    <xf numFmtId="0" fontId="10" fillId="14" borderId="22" xfId="0" applyFont="1" applyFill="1" applyBorder="1"/>
    <xf numFmtId="0" fontId="10" fillId="15" borderId="23" xfId="0" applyFont="1" applyFill="1" applyBorder="1"/>
    <xf numFmtId="0" fontId="10" fillId="14" borderId="24" xfId="0" applyFont="1" applyFill="1" applyBorder="1"/>
    <xf numFmtId="0" fontId="10" fillId="15" borderId="25" xfId="0" applyFont="1" applyFill="1" applyBorder="1"/>
    <xf numFmtId="0" fontId="10" fillId="14" borderId="26" xfId="0" applyFont="1" applyFill="1" applyBorder="1"/>
    <xf numFmtId="0" fontId="10" fillId="15" borderId="27" xfId="0" applyFont="1" applyFill="1" applyBorder="1"/>
    <xf numFmtId="0" fontId="10" fillId="14" borderId="28" xfId="0" applyFont="1" applyFill="1" applyBorder="1"/>
    <xf numFmtId="0" fontId="10" fillId="15" borderId="29" xfId="0" applyFont="1" applyFill="1" applyBorder="1"/>
    <xf numFmtId="0" fontId="10" fillId="14" borderId="30" xfId="0" applyFont="1" applyFill="1" applyBorder="1"/>
    <xf numFmtId="0" fontId="10" fillId="15" borderId="31" xfId="0" applyFont="1" applyFill="1" applyBorder="1"/>
    <xf numFmtId="0" fontId="10" fillId="15" borderId="32" xfId="0" applyFont="1" applyFill="1" applyBorder="1"/>
    <xf numFmtId="0" fontId="0" fillId="0" borderId="3" xfId="0" applyBorder="1"/>
    <xf numFmtId="0" fontId="2" fillId="0" borderId="6" xfId="0" applyFont="1" applyBorder="1"/>
    <xf numFmtId="2" fontId="0" fillId="0" borderId="6" xfId="0" applyNumberFormat="1" applyBorder="1"/>
    <xf numFmtId="0" fontId="7" fillId="0" borderId="6" xfId="0" applyFont="1" applyBorder="1"/>
    <xf numFmtId="164" fontId="0" fillId="0" borderId="6" xfId="0" applyNumberFormat="1" applyBorder="1"/>
    <xf numFmtId="164" fontId="0" fillId="0" borderId="0" xfId="0" applyNumberFormat="1"/>
    <xf numFmtId="165" fontId="0" fillId="0" borderId="0" xfId="0" applyNumberFormat="1"/>
    <xf numFmtId="0" fontId="8" fillId="0" borderId="4" xfId="0" applyFont="1" applyBorder="1"/>
    <xf numFmtId="0" fontId="10" fillId="0" borderId="0" xfId="0" applyFont="1"/>
    <xf numFmtId="0" fontId="8" fillId="0" borderId="7" xfId="0" applyFont="1" applyBorder="1"/>
    <xf numFmtId="0" fontId="8" fillId="0" borderId="5" xfId="0" applyFont="1" applyBorder="1"/>
    <xf numFmtId="0" fontId="0" fillId="16" borderId="0" xfId="0" applyFill="1"/>
    <xf numFmtId="0" fontId="0" fillId="17" borderId="0" xfId="0" applyFill="1"/>
    <xf numFmtId="3" fontId="2" fillId="0" borderId="0" xfId="0" applyNumberFormat="1" applyFont="1"/>
    <xf numFmtId="0" fontId="11" fillId="0" borderId="0" xfId="0" applyFont="1"/>
    <xf numFmtId="0" fontId="10" fillId="18" borderId="20" xfId="0" applyFont="1" applyFill="1" applyBorder="1"/>
    <xf numFmtId="0" fontId="10" fillId="19" borderId="32" xfId="0" applyFont="1" applyFill="1" applyBorder="1"/>
    <xf numFmtId="0" fontId="10" fillId="18" borderId="35" xfId="0" applyFont="1" applyFill="1" applyBorder="1"/>
    <xf numFmtId="0" fontId="10" fillId="18" borderId="28" xfId="0" applyFont="1" applyFill="1" applyBorder="1"/>
    <xf numFmtId="0" fontId="10" fillId="19" borderId="29" xfId="0" applyFont="1" applyFill="1" applyBorder="1"/>
    <xf numFmtId="0" fontId="10" fillId="18" borderId="33" xfId="0" applyFont="1" applyFill="1" applyBorder="1"/>
    <xf numFmtId="0" fontId="10" fillId="18" borderId="30" xfId="0" applyFont="1" applyFill="1" applyBorder="1"/>
    <xf numFmtId="0" fontId="10" fillId="19" borderId="31" xfId="0" applyFont="1" applyFill="1" applyBorder="1"/>
    <xf numFmtId="0" fontId="10" fillId="18" borderId="34" xfId="0" applyFont="1" applyFill="1" applyBorder="1"/>
    <xf numFmtId="0" fontId="10" fillId="18" borderId="26" xfId="0" applyFont="1" applyFill="1" applyBorder="1"/>
    <xf numFmtId="0" fontId="10" fillId="19" borderId="27" xfId="0" applyFont="1" applyFill="1" applyBorder="1"/>
    <xf numFmtId="0" fontId="10" fillId="18" borderId="17" xfId="0" applyFont="1" applyFill="1" applyBorder="1"/>
    <xf numFmtId="0" fontId="10" fillId="18" borderId="22" xfId="0" applyFont="1" applyFill="1" applyBorder="1"/>
    <xf numFmtId="0" fontId="10" fillId="19" borderId="38" xfId="0" applyFont="1" applyFill="1" applyBorder="1"/>
    <xf numFmtId="0" fontId="10" fillId="18" borderId="39" xfId="0" applyFont="1" applyFill="1" applyBorder="1"/>
    <xf numFmtId="11" fontId="10" fillId="18" borderId="30" xfId="0" applyNumberFormat="1" applyFont="1" applyFill="1" applyBorder="1"/>
    <xf numFmtId="11" fontId="10" fillId="19" borderId="31" xfId="0" applyNumberFormat="1" applyFont="1" applyFill="1" applyBorder="1"/>
    <xf numFmtId="3" fontId="0" fillId="0" borderId="0" xfId="0" applyNumberFormat="1"/>
    <xf numFmtId="11" fontId="0" fillId="0" borderId="0" xfId="0" applyNumberFormat="1"/>
    <xf numFmtId="0" fontId="2" fillId="20" borderId="41" xfId="0" applyFont="1" applyFill="1" applyBorder="1"/>
    <xf numFmtId="0" fontId="2" fillId="20" borderId="43" xfId="0" applyFont="1" applyFill="1" applyBorder="1"/>
    <xf numFmtId="0" fontId="2" fillId="20" borderId="45" xfId="0" applyFont="1" applyFill="1" applyBorder="1"/>
    <xf numFmtId="11" fontId="10" fillId="0" borderId="0" xfId="0" applyNumberFormat="1" applyFont="1"/>
    <xf numFmtId="0" fontId="10" fillId="19" borderId="21" xfId="0" applyFont="1" applyFill="1" applyBorder="1"/>
    <xf numFmtId="0" fontId="10" fillId="19" borderId="46" xfId="0" applyFont="1" applyFill="1" applyBorder="1"/>
    <xf numFmtId="0" fontId="10" fillId="19" borderId="47" xfId="0" applyFont="1" applyFill="1" applyBorder="1"/>
    <xf numFmtId="0" fontId="10" fillId="19" borderId="23" xfId="0" applyFont="1" applyFill="1" applyBorder="1"/>
    <xf numFmtId="0" fontId="0" fillId="0" borderId="11" xfId="0" applyBorder="1" applyAlignment="1">
      <alignment wrapText="1"/>
    </xf>
    <xf numFmtId="11" fontId="0" fillId="0" borderId="0" xfId="0" applyNumberFormat="1" applyAlignment="1">
      <alignment wrapText="1"/>
    </xf>
    <xf numFmtId="11" fontId="0" fillId="4" borderId="0" xfId="0" applyNumberFormat="1" applyFill="1"/>
    <xf numFmtId="0" fontId="10" fillId="0" borderId="29" xfId="0" applyFont="1" applyBorder="1"/>
    <xf numFmtId="0" fontId="10" fillId="0" borderId="33" xfId="0" applyFont="1" applyBorder="1"/>
    <xf numFmtId="11" fontId="10" fillId="0" borderId="31" xfId="0" applyNumberFormat="1" applyFont="1" applyBorder="1"/>
    <xf numFmtId="11" fontId="10" fillId="0" borderId="34" xfId="0" applyNumberFormat="1" applyFont="1" applyBorder="1"/>
    <xf numFmtId="0" fontId="10" fillId="18" borderId="48" xfId="0" applyFont="1" applyFill="1" applyBorder="1"/>
    <xf numFmtId="0" fontId="10" fillId="18" borderId="49" xfId="0" applyFont="1" applyFill="1" applyBorder="1"/>
    <xf numFmtId="0" fontId="10" fillId="18" borderId="50" xfId="0" applyFont="1" applyFill="1" applyBorder="1"/>
    <xf numFmtId="0" fontId="10" fillId="18" borderId="0" xfId="0" applyFont="1" applyFill="1"/>
    <xf numFmtId="0" fontId="10" fillId="18" borderId="51" xfId="0" applyFont="1" applyFill="1" applyBorder="1"/>
    <xf numFmtId="0" fontId="10" fillId="18" borderId="52" xfId="0" applyFont="1" applyFill="1" applyBorder="1"/>
    <xf numFmtId="0" fontId="10" fillId="18" borderId="53" xfId="0" applyFont="1" applyFill="1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0" fillId="18" borderId="54" xfId="0" applyFont="1" applyFill="1" applyBorder="1"/>
    <xf numFmtId="0" fontId="10" fillId="18" borderId="55" xfId="0" applyFont="1" applyFill="1" applyBorder="1"/>
    <xf numFmtId="0" fontId="10" fillId="19" borderId="54" xfId="0" applyFont="1" applyFill="1" applyBorder="1"/>
    <xf numFmtId="0" fontId="10" fillId="19" borderId="52" xfId="0" applyFont="1" applyFill="1" applyBorder="1"/>
    <xf numFmtId="0" fontId="10" fillId="19" borderId="53" xfId="0" applyFont="1" applyFill="1" applyBorder="1"/>
    <xf numFmtId="0" fontId="10" fillId="19" borderId="0" xfId="0" applyFont="1" applyFill="1"/>
    <xf numFmtId="0" fontId="10" fillId="19" borderId="55" xfId="0" applyFont="1" applyFill="1" applyBorder="1"/>
    <xf numFmtId="0" fontId="10" fillId="14" borderId="48" xfId="0" applyFont="1" applyFill="1" applyBorder="1"/>
    <xf numFmtId="0" fontId="10" fillId="14" borderId="51" xfId="0" applyFont="1" applyFill="1" applyBorder="1"/>
    <xf numFmtId="0" fontId="10" fillId="14" borderId="56" xfId="0" applyFont="1" applyFill="1" applyBorder="1"/>
    <xf numFmtId="0" fontId="10" fillId="14" borderId="0" xfId="0" applyFont="1" applyFill="1"/>
    <xf numFmtId="0" fontId="10" fillId="14" borderId="52" xfId="0" applyFont="1" applyFill="1" applyBorder="1"/>
    <xf numFmtId="0" fontId="10" fillId="14" borderId="53" xfId="0" applyFont="1" applyFill="1" applyBorder="1"/>
    <xf numFmtId="0" fontId="10" fillId="14" borderId="54" xfId="0" applyFont="1" applyFill="1" applyBorder="1"/>
    <xf numFmtId="11" fontId="10" fillId="18" borderId="53" xfId="0" applyNumberFormat="1" applyFont="1" applyFill="1" applyBorder="1"/>
    <xf numFmtId="0" fontId="4" fillId="0" borderId="69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62" xfId="0" applyFont="1" applyBorder="1" applyAlignment="1">
      <alignment horizontal="center" wrapText="1"/>
    </xf>
    <xf numFmtId="0" fontId="3" fillId="0" borderId="63" xfId="0" applyFont="1" applyBorder="1" applyAlignment="1">
      <alignment horizontal="center" wrapText="1"/>
    </xf>
    <xf numFmtId="0" fontId="3" fillId="0" borderId="64" xfId="0" applyFont="1" applyBorder="1" applyAlignment="1">
      <alignment horizontal="center" wrapText="1"/>
    </xf>
    <xf numFmtId="0" fontId="4" fillId="0" borderId="70" xfId="0" applyFont="1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7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23" xfId="0" applyFont="1" applyBorder="1" applyAlignment="1">
      <alignment horizontal="center" wrapText="1"/>
    </xf>
    <xf numFmtId="0" fontId="4" fillId="0" borderId="65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2" fillId="3" borderId="70" xfId="0" applyFont="1" applyFill="1" applyBorder="1"/>
    <xf numFmtId="0" fontId="3" fillId="0" borderId="66" xfId="0" applyFont="1" applyBorder="1" applyAlignment="1">
      <alignment horizontal="center" wrapText="1"/>
    </xf>
    <xf numFmtId="0" fontId="3" fillId="0" borderId="6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65" xfId="0" applyFont="1" applyBorder="1" applyAlignment="1">
      <alignment horizontal="center" wrapText="1"/>
    </xf>
    <xf numFmtId="0" fontId="3" fillId="0" borderId="57" xfId="0" applyFont="1" applyBorder="1" applyAlignment="1">
      <alignment horizontal="center" wrapText="1"/>
    </xf>
    <xf numFmtId="0" fontId="3" fillId="0" borderId="58" xfId="0" applyFont="1" applyBorder="1" applyAlignment="1">
      <alignment horizontal="center" wrapText="1"/>
    </xf>
    <xf numFmtId="0" fontId="3" fillId="0" borderId="59" xfId="0" applyFont="1" applyBorder="1" applyAlignment="1">
      <alignment horizontal="center" wrapText="1"/>
    </xf>
    <xf numFmtId="0" fontId="2" fillId="12" borderId="12" xfId="0" applyFont="1" applyFill="1" applyBorder="1" applyAlignment="1">
      <alignment horizontal="center" vertical="center" textRotation="90" wrapText="1"/>
    </xf>
    <xf numFmtId="0" fontId="2" fillId="12" borderId="14" xfId="0" applyFont="1" applyFill="1" applyBorder="1" applyAlignment="1">
      <alignment horizontal="center" vertical="center" textRotation="90" wrapText="1"/>
    </xf>
    <xf numFmtId="0" fontId="2" fillId="12" borderId="16" xfId="0" applyFont="1" applyFill="1" applyBorder="1" applyAlignment="1">
      <alignment horizontal="center" vertical="center" textRotation="90" wrapText="1"/>
    </xf>
    <xf numFmtId="0" fontId="2" fillId="11" borderId="7" xfId="0" applyFont="1" applyFill="1" applyBorder="1" applyAlignment="1">
      <alignment horizontal="center" textRotation="90" wrapText="1"/>
    </xf>
    <xf numFmtId="0" fontId="2" fillId="12" borderId="12" xfId="0" applyFont="1" applyFill="1" applyBorder="1" applyAlignment="1">
      <alignment horizontal="center" vertical="center" textRotation="90"/>
    </xf>
    <xf numFmtId="0" fontId="2" fillId="12" borderId="14" xfId="0" applyFont="1" applyFill="1" applyBorder="1" applyAlignment="1">
      <alignment horizontal="center" vertical="center" textRotation="90"/>
    </xf>
    <xf numFmtId="0" fontId="2" fillId="12" borderId="16" xfId="0" applyFont="1" applyFill="1" applyBorder="1" applyAlignment="1">
      <alignment horizontal="center" vertical="center" textRotation="90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8" fillId="0" borderId="36" xfId="0" applyFont="1" applyBorder="1" applyAlignment="1">
      <alignment textRotation="90"/>
    </xf>
    <xf numFmtId="0" fontId="8" fillId="0" borderId="11" xfId="0" applyFont="1" applyBorder="1" applyAlignment="1">
      <alignment textRotation="90"/>
    </xf>
    <xf numFmtId="0" fontId="8" fillId="0" borderId="37" xfId="0" applyFont="1" applyBorder="1" applyAlignment="1">
      <alignment textRotation="90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0"/>
  <sheetViews>
    <sheetView workbookViewId="0">
      <selection activeCell="D9" sqref="D9"/>
    </sheetView>
  </sheetViews>
  <sheetFormatPr defaultRowHeight="15" x14ac:dyDescent="0.25"/>
  <cols>
    <col min="1" max="1" width="3.42578125" style="136" bestFit="1" customWidth="1"/>
    <col min="2" max="2" width="25.28515625" style="136" customWidth="1"/>
    <col min="3" max="3" width="18.85546875" style="136" bestFit="1" customWidth="1"/>
    <col min="4" max="4" width="20.28515625" style="136" bestFit="1" customWidth="1"/>
    <col min="5" max="5" width="26.28515625" style="136" bestFit="1" customWidth="1"/>
  </cols>
  <sheetData>
    <row r="1" spans="1:108" x14ac:dyDescent="0.25">
      <c r="A1" s="154" t="s">
        <v>0</v>
      </c>
      <c r="B1" s="156" t="s">
        <v>1</v>
      </c>
      <c r="C1" s="158" t="s">
        <v>2</v>
      </c>
      <c r="D1" s="159"/>
      <c r="E1" s="160"/>
    </row>
    <row r="2" spans="1:108" ht="30.75" thickBot="1" x14ac:dyDescent="0.3">
      <c r="A2" s="155"/>
      <c r="B2" s="157"/>
      <c r="C2" s="137" t="s">
        <v>3</v>
      </c>
      <c r="D2" s="138" t="s">
        <v>4</v>
      </c>
      <c r="E2" s="139" t="s">
        <v>5</v>
      </c>
    </row>
    <row r="3" spans="1:108" x14ac:dyDescent="0.25">
      <c r="A3" s="133">
        <v>1</v>
      </c>
      <c r="B3" s="140" t="s">
        <v>6</v>
      </c>
      <c r="C3" s="141">
        <v>85</v>
      </c>
      <c r="D3" s="142">
        <v>2.7</v>
      </c>
      <c r="E3" s="143">
        <v>39.44</v>
      </c>
    </row>
    <row r="4" spans="1:108" s="71" customFormat="1" x14ac:dyDescent="0.25">
      <c r="A4" s="134">
        <v>2</v>
      </c>
      <c r="B4" s="144" t="s">
        <v>7</v>
      </c>
      <c r="C4" s="145">
        <v>85</v>
      </c>
      <c r="D4" s="146">
        <v>2.95</v>
      </c>
      <c r="E4" s="147">
        <v>33.83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</row>
    <row r="5" spans="1:108" x14ac:dyDescent="0.25">
      <c r="A5" s="134">
        <v>3</v>
      </c>
      <c r="B5" s="144" t="s">
        <v>8</v>
      </c>
      <c r="C5" s="145">
        <v>85</v>
      </c>
      <c r="D5" s="146">
        <v>3.2</v>
      </c>
      <c r="E5" s="147">
        <v>28.22</v>
      </c>
    </row>
    <row r="6" spans="1:108" x14ac:dyDescent="0.25">
      <c r="A6" s="134">
        <v>4</v>
      </c>
      <c r="B6" s="144" t="s">
        <v>9</v>
      </c>
      <c r="C6" s="145">
        <v>120</v>
      </c>
      <c r="D6" s="146">
        <v>2.7</v>
      </c>
      <c r="E6" s="147">
        <v>39.44</v>
      </c>
    </row>
    <row r="7" spans="1:108" s="71" customFormat="1" x14ac:dyDescent="0.25">
      <c r="A7" s="134">
        <v>5</v>
      </c>
      <c r="B7" s="144" t="s">
        <v>10</v>
      </c>
      <c r="C7" s="145">
        <v>120</v>
      </c>
      <c r="D7" s="146">
        <v>2.95</v>
      </c>
      <c r="E7" s="147">
        <v>33.83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</row>
    <row r="8" spans="1:108" s="71" customFormat="1" x14ac:dyDescent="0.25">
      <c r="A8" s="134">
        <v>6</v>
      </c>
      <c r="B8" s="144" t="s">
        <v>11</v>
      </c>
      <c r="C8" s="145">
        <v>120</v>
      </c>
      <c r="D8" s="146">
        <v>3.2</v>
      </c>
      <c r="E8" s="147">
        <v>28.22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 spans="1:108" x14ac:dyDescent="0.25">
      <c r="A9" s="134">
        <v>7</v>
      </c>
      <c r="B9" s="144" t="s">
        <v>12</v>
      </c>
      <c r="C9" s="145">
        <v>145</v>
      </c>
      <c r="D9" s="146">
        <v>2.7</v>
      </c>
      <c r="E9" s="147">
        <v>39.44</v>
      </c>
    </row>
    <row r="10" spans="1:108" s="71" customFormat="1" x14ac:dyDescent="0.25">
      <c r="A10" s="134">
        <v>8</v>
      </c>
      <c r="B10" s="144" t="s">
        <v>13</v>
      </c>
      <c r="C10" s="145">
        <v>145</v>
      </c>
      <c r="D10" s="146">
        <v>2.95</v>
      </c>
      <c r="E10" s="147">
        <v>33.83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</row>
    <row r="11" spans="1:108" x14ac:dyDescent="0.25">
      <c r="A11" s="134">
        <v>9</v>
      </c>
      <c r="B11" s="144" t="s">
        <v>14</v>
      </c>
      <c r="C11" s="145">
        <v>145</v>
      </c>
      <c r="D11" s="146">
        <v>3.2</v>
      </c>
      <c r="E11" s="147">
        <v>28.22</v>
      </c>
    </row>
    <row r="12" spans="1:108" x14ac:dyDescent="0.25">
      <c r="A12" s="134">
        <v>10</v>
      </c>
      <c r="B12" s="144" t="s">
        <v>15</v>
      </c>
      <c r="C12" s="145">
        <v>85</v>
      </c>
      <c r="D12" s="146">
        <v>2.7</v>
      </c>
      <c r="E12" s="147">
        <v>39.44</v>
      </c>
    </row>
    <row r="13" spans="1:108" s="72" customFormat="1" x14ac:dyDescent="0.25">
      <c r="A13" s="134">
        <v>11</v>
      </c>
      <c r="B13" s="144" t="s">
        <v>16</v>
      </c>
      <c r="C13" s="145">
        <v>85</v>
      </c>
      <c r="D13" s="146">
        <v>2.95</v>
      </c>
      <c r="E13" s="147">
        <v>33.83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</row>
    <row r="14" spans="1:108" x14ac:dyDescent="0.25">
      <c r="A14" s="134">
        <v>12</v>
      </c>
      <c r="B14" s="144" t="s">
        <v>17</v>
      </c>
      <c r="C14" s="145">
        <v>85</v>
      </c>
      <c r="D14" s="148">
        <v>3.2</v>
      </c>
      <c r="E14" s="147">
        <v>28.22</v>
      </c>
    </row>
    <row r="15" spans="1:108" s="72" customFormat="1" x14ac:dyDescent="0.25">
      <c r="A15" s="134">
        <v>13</v>
      </c>
      <c r="B15" s="144" t="s">
        <v>18</v>
      </c>
      <c r="C15" s="145">
        <v>120</v>
      </c>
      <c r="D15" s="146">
        <v>2.7</v>
      </c>
      <c r="E15" s="147">
        <v>39.44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spans="1:108" s="72" customFormat="1" x14ac:dyDescent="0.25">
      <c r="A16" s="134">
        <v>14</v>
      </c>
      <c r="B16" s="144" t="s">
        <v>19</v>
      </c>
      <c r="C16" s="145">
        <v>120</v>
      </c>
      <c r="D16" s="146">
        <v>2.95</v>
      </c>
      <c r="E16" s="147">
        <v>33.83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spans="1:108" x14ac:dyDescent="0.25">
      <c r="A17" s="134">
        <v>15</v>
      </c>
      <c r="B17" s="144" t="s">
        <v>20</v>
      </c>
      <c r="C17" s="145">
        <v>120</v>
      </c>
      <c r="D17" s="146">
        <v>3.2</v>
      </c>
      <c r="E17" s="147">
        <v>28.22</v>
      </c>
    </row>
    <row r="18" spans="1:108" x14ac:dyDescent="0.25">
      <c r="A18" s="134">
        <v>16</v>
      </c>
      <c r="B18" s="144" t="s">
        <v>21</v>
      </c>
      <c r="C18" s="145">
        <v>145</v>
      </c>
      <c r="D18" s="146">
        <v>2.7</v>
      </c>
      <c r="E18" s="147">
        <v>39.44</v>
      </c>
    </row>
    <row r="19" spans="1:108" s="72" customFormat="1" x14ac:dyDescent="0.25">
      <c r="A19" s="134">
        <v>17</v>
      </c>
      <c r="B19" s="144" t="s">
        <v>22</v>
      </c>
      <c r="C19" s="145">
        <v>145</v>
      </c>
      <c r="D19" s="146">
        <v>2.95</v>
      </c>
      <c r="E19" s="147">
        <v>33.83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</row>
    <row r="20" spans="1:108" ht="15.75" thickBot="1" x14ac:dyDescent="0.3">
      <c r="A20" s="135">
        <v>18</v>
      </c>
      <c r="B20" s="149" t="s">
        <v>23</v>
      </c>
      <c r="C20" s="150">
        <v>145</v>
      </c>
      <c r="D20" s="151">
        <v>3.2</v>
      </c>
      <c r="E20" s="152">
        <v>28.22</v>
      </c>
    </row>
  </sheetData>
  <mergeCells count="3">
    <mergeCell ref="A1:A2"/>
    <mergeCell ref="B1:B2"/>
    <mergeCell ref="C1:E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zoomScale="85" zoomScaleNormal="85" workbookViewId="0">
      <pane ySplit="1" topLeftCell="A141" activePane="bottomLeft" state="frozen"/>
      <selection pane="bottomLeft" activeCell="B159" sqref="B159"/>
    </sheetView>
  </sheetViews>
  <sheetFormatPr defaultRowHeight="15" x14ac:dyDescent="0.25"/>
  <cols>
    <col min="1" max="1" width="14.28515625" customWidth="1"/>
    <col min="2" max="2" width="43.140625" style="27" customWidth="1"/>
    <col min="3" max="5" width="15.2851562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s="3" t="s">
        <v>26</v>
      </c>
      <c r="D1" s="3" t="s">
        <v>27</v>
      </c>
      <c r="E1" s="3" t="s">
        <v>28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0.85</v>
      </c>
      <c r="D5" s="8">
        <v>0.9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t="s">
        <v>41</v>
      </c>
      <c r="D8" t="s">
        <v>42</v>
      </c>
      <c r="E8" t="s">
        <v>43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2.6130199999999999E-2</v>
      </c>
      <c r="D12" s="8">
        <v>2.6146200000000001E-2</v>
      </c>
      <c r="E12" s="8">
        <v>2.6611599999999999E-2</v>
      </c>
      <c r="F12" s="1">
        <f>AVERAGE(C12:E12)</f>
        <v>2.6296E-2</v>
      </c>
      <c r="G12" s="2">
        <f>_xlfn.STDEV.P(C12:E12)</f>
        <v>2.2325847501644016E-4</v>
      </c>
    </row>
    <row r="13" spans="1:7" x14ac:dyDescent="0.25">
      <c r="A13" s="164"/>
      <c r="B13" s="21" t="s">
        <v>49</v>
      </c>
      <c r="C13" s="8">
        <v>58</v>
      </c>
      <c r="D13" s="8">
        <v>58</v>
      </c>
      <c r="E13" s="8">
        <v>59</v>
      </c>
      <c r="F13" s="1">
        <f t="shared" ref="F13:F76" si="0">AVERAGE(C13:E13)</f>
        <v>58.333333333333336</v>
      </c>
      <c r="G13" s="2">
        <f t="shared" ref="G13:G76" si="1">_xlfn.STDEV.P(C13:E13)</f>
        <v>0.47140452079103168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2.0560200000000001E-2</v>
      </c>
      <c r="D18" s="11">
        <f t="shared" ref="D18:E18" si="2">D12-D14</f>
        <v>2.0576200000000003E-2</v>
      </c>
      <c r="E18" s="11">
        <f t="shared" si="2"/>
        <v>2.1041600000000001E-2</v>
      </c>
      <c r="F18" s="1">
        <f t="shared" si="0"/>
        <v>2.0726000000000001E-2</v>
      </c>
      <c r="G18" s="2">
        <f t="shared" si="1"/>
        <v>2.2325847501644016E-4</v>
      </c>
    </row>
    <row r="19" spans="1:7" x14ac:dyDescent="0.25">
      <c r="A19" s="164"/>
      <c r="B19" s="23" t="s">
        <v>55</v>
      </c>
      <c r="C19" s="12">
        <f>C18*C10/100*C11</f>
        <v>3.2567356800000002</v>
      </c>
      <c r="D19" s="12">
        <f t="shared" ref="D19:E19" si="3">D18*D10/100*D11</f>
        <v>3.2592700800000003</v>
      </c>
      <c r="E19" s="12">
        <f t="shared" si="3"/>
        <v>3.3329894400000004</v>
      </c>
      <c r="F19" s="1">
        <f t="shared" si="0"/>
        <v>3.2829984000000003</v>
      </c>
      <c r="G19" s="2">
        <f t="shared" si="1"/>
        <v>3.5364142442604274E-2</v>
      </c>
    </row>
    <row r="20" spans="1:7" x14ac:dyDescent="0.25">
      <c r="A20" s="164"/>
      <c r="B20" s="23" t="s">
        <v>56</v>
      </c>
      <c r="C20" s="12">
        <f>C19/C16</f>
        <v>1.8940412128430721</v>
      </c>
      <c r="D20" s="12">
        <f t="shared" ref="D20:E20" si="4">D19/D16</f>
        <v>1.8955151605384004</v>
      </c>
      <c r="E20" s="12">
        <f t="shared" si="4"/>
        <v>1.9383886141262627</v>
      </c>
      <c r="F20" s="1">
        <f t="shared" si="0"/>
        <v>1.9093149958359117</v>
      </c>
      <c r="G20" s="2">
        <f t="shared" si="1"/>
        <v>2.0566957169562278E-2</v>
      </c>
    </row>
    <row r="21" spans="1:7" x14ac:dyDescent="0.25">
      <c r="A21" s="164"/>
      <c r="B21" s="22" t="s">
        <v>57</v>
      </c>
      <c r="C21" s="13">
        <f>C13-C15</f>
        <v>45</v>
      </c>
      <c r="D21" s="13">
        <f t="shared" ref="D21:E21" si="5">D13-D15</f>
        <v>45</v>
      </c>
      <c r="E21" s="13">
        <f t="shared" si="5"/>
        <v>46</v>
      </c>
      <c r="F21" s="1">
        <f t="shared" si="0"/>
        <v>45.333333333333336</v>
      </c>
      <c r="G21" s="2">
        <f t="shared" si="1"/>
        <v>0.47140452079103168</v>
      </c>
    </row>
    <row r="22" spans="1:7" x14ac:dyDescent="0.25">
      <c r="A22" s="164"/>
      <c r="B22" s="22" t="s">
        <v>58</v>
      </c>
      <c r="C22" s="13">
        <f>C18/(C16/10^4)</f>
        <v>119.57330889160809</v>
      </c>
      <c r="D22" s="13">
        <f t="shared" ref="D22:E22" si="6">D18/(D16/10^4)</f>
        <v>119.66636114510105</v>
      </c>
      <c r="E22" s="13">
        <f t="shared" si="6"/>
        <v>122.37301856857719</v>
      </c>
      <c r="F22" s="1">
        <f t="shared" si="0"/>
        <v>120.53756286842878</v>
      </c>
      <c r="G22" s="2">
        <f t="shared" si="1"/>
        <v>1.2984190132299387</v>
      </c>
    </row>
    <row r="23" spans="1:7" x14ac:dyDescent="0.25">
      <c r="A23" s="164"/>
      <c r="B23" s="22" t="s">
        <v>59</v>
      </c>
      <c r="C23" s="13">
        <f>C18/C16/(C21/10^4)</f>
        <v>2.6571846420357352</v>
      </c>
      <c r="D23" s="13">
        <f t="shared" ref="D23:E23" si="7">D18/D16/(D21/10^4)</f>
        <v>2.6592524698911344</v>
      </c>
      <c r="E23" s="13">
        <f t="shared" si="7"/>
        <v>2.6602830123603733</v>
      </c>
      <c r="F23" s="1">
        <f t="shared" si="0"/>
        <v>2.6589067080957478</v>
      </c>
      <c r="G23" s="2">
        <f t="shared" si="1"/>
        <v>1.2883162348614344E-3</v>
      </c>
    </row>
    <row r="24" spans="1:7" x14ac:dyDescent="0.25">
      <c r="A24" s="164"/>
      <c r="B24" s="22" t="s">
        <v>60</v>
      </c>
      <c r="C24" s="13">
        <f>(1-C23/C17)*100</f>
        <v>40.395140376049014</v>
      </c>
      <c r="D24" s="13">
        <f t="shared" ref="D24:E24" si="8">(1-D23/D17)*100</f>
        <v>40.348755722495866</v>
      </c>
      <c r="E24" s="13">
        <f t="shared" si="8"/>
        <v>40.32563902287184</v>
      </c>
      <c r="F24" s="1">
        <f t="shared" si="0"/>
        <v>40.356511707138907</v>
      </c>
      <c r="G24" s="2">
        <f t="shared" si="1"/>
        <v>2.8898973415467679E-2</v>
      </c>
    </row>
    <row r="25" spans="1:7" x14ac:dyDescent="0.25">
      <c r="A25" s="164"/>
      <c r="B25" s="24" t="s">
        <v>61</v>
      </c>
      <c r="C25" s="14">
        <f>(C18*C10)/100</f>
        <v>1.9737792000000001E-2</v>
      </c>
      <c r="D25" s="14">
        <f t="shared" ref="D25:E25" si="9">(D18*D10)/100</f>
        <v>1.9753152000000003E-2</v>
      </c>
      <c r="E25" s="14">
        <f t="shared" si="9"/>
        <v>2.0199936000000002E-2</v>
      </c>
      <c r="F25" s="1">
        <f t="shared" si="0"/>
        <v>1.9896960000000002E-2</v>
      </c>
      <c r="G25" s="2">
        <f t="shared" si="1"/>
        <v>2.1432813601578301E-4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65</v>
      </c>
      <c r="D28" t="s">
        <v>65</v>
      </c>
      <c r="E28" t="s">
        <v>66</v>
      </c>
    </row>
    <row r="29" spans="1:7" x14ac:dyDescent="0.25">
      <c r="A29" s="164"/>
      <c r="B29" s="18" t="s">
        <v>67</v>
      </c>
      <c r="C29" t="s">
        <v>68</v>
      </c>
      <c r="D29" t="s">
        <v>69</v>
      </c>
      <c r="E29" t="s">
        <v>70</v>
      </c>
    </row>
    <row r="30" spans="1:7" x14ac:dyDescent="0.25">
      <c r="A30" s="164"/>
      <c r="B30" s="25" t="s">
        <v>71</v>
      </c>
      <c r="C30">
        <v>3.19</v>
      </c>
      <c r="D30">
        <v>3.23</v>
      </c>
      <c r="E30">
        <v>3.2869999999999999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47"/>
      <c r="D33" s="48">
        <v>3.6130702298723349</v>
      </c>
      <c r="E33" s="109">
        <v>3.6983578700000002</v>
      </c>
      <c r="F33" s="1">
        <f t="shared" si="0"/>
        <v>3.6557140499361678</v>
      </c>
      <c r="G33" s="2">
        <f t="shared" si="1"/>
        <v>4.2643820063832605E-2</v>
      </c>
    </row>
    <row r="34" spans="1:7" x14ac:dyDescent="0.25">
      <c r="A34" s="166"/>
      <c r="B34" s="29" t="s">
        <v>74</v>
      </c>
      <c r="C34" s="49">
        <v>3.592067100307363</v>
      </c>
      <c r="D34" s="50">
        <v>3.306049441555559</v>
      </c>
      <c r="E34" s="110">
        <v>3.36257056</v>
      </c>
      <c r="F34" s="1">
        <f t="shared" si="0"/>
        <v>3.4202290339543073</v>
      </c>
      <c r="G34" s="2">
        <f t="shared" si="1"/>
        <v>0.123679424302025</v>
      </c>
    </row>
    <row r="35" spans="1:7" x14ac:dyDescent="0.25">
      <c r="A35" s="166"/>
      <c r="B35" s="29" t="s">
        <v>75</v>
      </c>
      <c r="C35" s="49">
        <v>3.13644260510508</v>
      </c>
      <c r="D35" s="50">
        <v>3.1453394455589039</v>
      </c>
      <c r="E35" s="110">
        <v>3.2138367400000001</v>
      </c>
      <c r="F35" s="1">
        <f t="shared" si="0"/>
        <v>3.1652062635546616</v>
      </c>
      <c r="G35" s="2">
        <f t="shared" si="1"/>
        <v>3.4578228911563084E-2</v>
      </c>
    </row>
    <row r="36" spans="1:7" x14ac:dyDescent="0.25">
      <c r="A36" s="166"/>
      <c r="B36" s="29" t="s">
        <v>76</v>
      </c>
      <c r="C36" s="49">
        <v>3.1483056176786581</v>
      </c>
      <c r="D36" s="50">
        <v>3.158960520929075</v>
      </c>
      <c r="E36" s="110">
        <v>3.2289506299999999</v>
      </c>
      <c r="F36" s="1">
        <f t="shared" si="0"/>
        <v>3.1787389228692446</v>
      </c>
      <c r="G36" s="2">
        <f t="shared" si="1"/>
        <v>3.577050358938693E-2</v>
      </c>
    </row>
    <row r="37" spans="1:7" x14ac:dyDescent="0.25">
      <c r="A37" s="166"/>
      <c r="B37" s="29" t="s">
        <v>77</v>
      </c>
      <c r="C37" s="49">
        <v>3.1573365884582039</v>
      </c>
      <c r="D37" s="50">
        <v>3.170857175187801</v>
      </c>
      <c r="E37" s="110">
        <v>3.23785547</v>
      </c>
      <c r="F37" s="1">
        <f t="shared" si="0"/>
        <v>3.1886830778820019</v>
      </c>
      <c r="G37" s="2">
        <f t="shared" si="1"/>
        <v>3.5205536272323042E-2</v>
      </c>
    </row>
    <row r="38" spans="1:7" x14ac:dyDescent="0.25">
      <c r="A38" s="166"/>
      <c r="B38" s="29" t="s">
        <v>78</v>
      </c>
      <c r="C38" s="49">
        <v>3.1607159581353552</v>
      </c>
      <c r="D38" s="50">
        <v>3.1802617608034618</v>
      </c>
      <c r="E38" s="110">
        <v>3.2452658799999998</v>
      </c>
      <c r="F38" s="1">
        <f t="shared" si="0"/>
        <v>3.1954145329796053</v>
      </c>
      <c r="G38" s="2">
        <f t="shared" si="1"/>
        <v>3.614210103001729E-2</v>
      </c>
    </row>
    <row r="39" spans="1:7" x14ac:dyDescent="0.25">
      <c r="A39" s="166"/>
      <c r="B39" s="29" t="s">
        <v>79</v>
      </c>
      <c r="C39" s="49">
        <v>3.1866360102551199</v>
      </c>
      <c r="D39" s="50">
        <v>3.203109131862774</v>
      </c>
      <c r="E39" s="110">
        <v>3.2670675600000001</v>
      </c>
      <c r="F39" s="1">
        <f t="shared" si="0"/>
        <v>3.218937567372631</v>
      </c>
      <c r="G39" s="2">
        <f t="shared" si="1"/>
        <v>3.469114273709327E-2</v>
      </c>
    </row>
    <row r="40" spans="1:7" x14ac:dyDescent="0.25">
      <c r="A40" s="166"/>
      <c r="B40" s="29" t="s">
        <v>80</v>
      </c>
      <c r="C40" s="49">
        <v>3.1784553616175431</v>
      </c>
      <c r="D40" s="50">
        <v>3.1967733134048149</v>
      </c>
      <c r="E40" s="110">
        <v>3.25742669</v>
      </c>
      <c r="F40" s="1">
        <f t="shared" si="0"/>
        <v>3.2108851216741194</v>
      </c>
      <c r="G40" s="2">
        <f t="shared" si="1"/>
        <v>3.3748827397848631E-2</v>
      </c>
    </row>
    <row r="41" spans="1:7" x14ac:dyDescent="0.25">
      <c r="A41" s="166"/>
      <c r="B41" s="29" t="s">
        <v>80</v>
      </c>
      <c r="C41" s="49">
        <v>3.0484497126967169</v>
      </c>
      <c r="D41" s="50">
        <v>3.065722180951524</v>
      </c>
      <c r="E41" s="110">
        <v>3.1254131900000002</v>
      </c>
      <c r="F41" s="1">
        <f t="shared" si="0"/>
        <v>3.0798616945494133</v>
      </c>
      <c r="G41" s="2">
        <f t="shared" si="1"/>
        <v>3.2972600678360497E-2</v>
      </c>
    </row>
    <row r="42" spans="1:7" x14ac:dyDescent="0.25">
      <c r="A42" s="166"/>
      <c r="B42" s="29" t="s">
        <v>80</v>
      </c>
      <c r="C42" s="49">
        <v>2.9308768998870089</v>
      </c>
      <c r="D42" s="50">
        <v>2.9476893010812351</v>
      </c>
      <c r="E42" s="110">
        <v>3.00884442</v>
      </c>
      <c r="F42" s="1">
        <f t="shared" si="0"/>
        <v>2.9624702069894142</v>
      </c>
      <c r="G42" s="2">
        <f t="shared" si="1"/>
        <v>3.3502138565990665E-2</v>
      </c>
    </row>
    <row r="43" spans="1:7" x14ac:dyDescent="0.25">
      <c r="A43" s="166"/>
      <c r="B43" s="29" t="s">
        <v>80</v>
      </c>
      <c r="C43" s="49">
        <v>2.599768782973582</v>
      </c>
      <c r="D43" s="50">
        <v>2.6151048129376862</v>
      </c>
      <c r="E43" s="110">
        <v>2.6646565</v>
      </c>
      <c r="F43" s="1">
        <f t="shared" si="0"/>
        <v>2.6265100319704224</v>
      </c>
      <c r="G43" s="2">
        <f t="shared" si="1"/>
        <v>2.769071109131056E-2</v>
      </c>
    </row>
    <row r="44" spans="1:7" ht="15.75" thickBot="1" x14ac:dyDescent="0.3">
      <c r="A44" s="167"/>
      <c r="B44" s="30" t="s">
        <v>80</v>
      </c>
      <c r="C44" s="51">
        <v>2.4647404916127651</v>
      </c>
      <c r="D44" s="52">
        <v>2.459858592099109</v>
      </c>
      <c r="E44" s="111">
        <v>2.4798887600000001</v>
      </c>
      <c r="F44" s="1">
        <f t="shared" si="0"/>
        <v>2.4681626145706246</v>
      </c>
      <c r="G44" s="2">
        <f t="shared" si="1"/>
        <v>8.5278016193508846E-3</v>
      </c>
    </row>
    <row r="45" spans="1:7" ht="15.75" thickTop="1" x14ac:dyDescent="0.25">
      <c r="A45" s="165" t="s">
        <v>81</v>
      </c>
      <c r="B45" s="28" t="s">
        <v>73</v>
      </c>
      <c r="C45" s="47">
        <v>3.266396978859555</v>
      </c>
      <c r="D45" s="48">
        <v>3.28477083799643</v>
      </c>
      <c r="E45" s="110">
        <v>3.3455343700000002</v>
      </c>
      <c r="F45" s="1">
        <f t="shared" si="0"/>
        <v>3.2989007289519954</v>
      </c>
      <c r="G45" s="2">
        <f t="shared" si="1"/>
        <v>3.3817372586104046E-2</v>
      </c>
    </row>
    <row r="46" spans="1:7" x14ac:dyDescent="0.25">
      <c r="A46" s="166"/>
      <c r="B46" s="29" t="s">
        <v>74</v>
      </c>
      <c r="C46" s="49">
        <v>2.7269070440861252</v>
      </c>
      <c r="D46" s="50">
        <v>3.1365277790659989</v>
      </c>
      <c r="E46" s="110">
        <v>3.2063633399999998</v>
      </c>
      <c r="F46" s="1">
        <f t="shared" si="0"/>
        <v>3.0232660543840413</v>
      </c>
      <c r="G46" s="2">
        <f t="shared" si="1"/>
        <v>0.21148798016484988</v>
      </c>
    </row>
    <row r="47" spans="1:7" x14ac:dyDescent="0.25">
      <c r="A47" s="166"/>
      <c r="B47" s="29" t="s">
        <v>75</v>
      </c>
      <c r="C47" s="49">
        <v>3.1389675214790609</v>
      </c>
      <c r="D47" s="50">
        <v>3.1502616279654378</v>
      </c>
      <c r="E47" s="110">
        <v>3.22113045</v>
      </c>
      <c r="F47" s="1">
        <f t="shared" si="0"/>
        <v>3.1701198664814996</v>
      </c>
      <c r="G47" s="2">
        <f t="shared" si="1"/>
        <v>3.6363433405046108E-2</v>
      </c>
    </row>
    <row r="48" spans="1:7" x14ac:dyDescent="0.25">
      <c r="A48" s="166"/>
      <c r="B48" s="29" t="s">
        <v>76</v>
      </c>
      <c r="C48" s="49">
        <v>3.1484559235222451</v>
      </c>
      <c r="D48" s="50">
        <v>3.1625601432724482</v>
      </c>
      <c r="E48" s="110">
        <v>3.2305858000000001</v>
      </c>
      <c r="F48" s="1">
        <f t="shared" si="0"/>
        <v>3.1805339555982308</v>
      </c>
      <c r="G48" s="2">
        <f t="shared" si="1"/>
        <v>3.5857333975117478E-2</v>
      </c>
    </row>
    <row r="49" spans="1:7" x14ac:dyDescent="0.25">
      <c r="A49" s="166"/>
      <c r="B49" s="29" t="s">
        <v>77</v>
      </c>
      <c r="C49" s="49">
        <v>3.15226375309719</v>
      </c>
      <c r="D49" s="50">
        <v>3.1722158265411529</v>
      </c>
      <c r="E49" s="110">
        <v>3.2383036299999999</v>
      </c>
      <c r="F49" s="1">
        <f t="shared" si="0"/>
        <v>3.1875944032127812</v>
      </c>
      <c r="G49" s="2">
        <f t="shared" si="1"/>
        <v>3.677037366954114E-2</v>
      </c>
    </row>
    <row r="50" spans="1:7" x14ac:dyDescent="0.25">
      <c r="A50" s="166"/>
      <c r="B50" s="29" t="s">
        <v>78</v>
      </c>
      <c r="C50" s="49">
        <v>3.163218629756769</v>
      </c>
      <c r="D50" s="50">
        <v>3.1806635543766291</v>
      </c>
      <c r="E50" s="110">
        <v>3.2444815899999999</v>
      </c>
      <c r="F50" s="1">
        <f t="shared" si="0"/>
        <v>3.196121258044466</v>
      </c>
      <c r="G50" s="2">
        <f t="shared" si="1"/>
        <v>3.4929668658464974E-2</v>
      </c>
    </row>
    <row r="51" spans="1:7" x14ac:dyDescent="0.25">
      <c r="A51" s="166"/>
      <c r="B51" s="29" t="s">
        <v>79</v>
      </c>
      <c r="C51" s="49">
        <v>3.1830440482203501</v>
      </c>
      <c r="D51" s="50">
        <v>3.2015916526351371</v>
      </c>
      <c r="E51" s="110">
        <v>3.2643575899999999</v>
      </c>
      <c r="F51" s="1">
        <f t="shared" si="0"/>
        <v>3.2163310969518286</v>
      </c>
      <c r="G51" s="2">
        <f t="shared" si="1"/>
        <v>3.479378712032135E-2</v>
      </c>
    </row>
    <row r="52" spans="1:7" x14ac:dyDescent="0.25">
      <c r="A52" s="166"/>
      <c r="B52" s="29" t="s">
        <v>82</v>
      </c>
      <c r="C52" s="49">
        <v>3.0394729083240679</v>
      </c>
      <c r="D52" s="50">
        <v>3.0576270809518649</v>
      </c>
      <c r="E52" s="110">
        <v>3.1202756300000001</v>
      </c>
      <c r="F52" s="1">
        <f t="shared" si="0"/>
        <v>3.0724585397586441</v>
      </c>
      <c r="G52" s="2">
        <f t="shared" si="1"/>
        <v>3.4614535341023392E-2</v>
      </c>
    </row>
    <row r="53" spans="1:7" x14ac:dyDescent="0.25">
      <c r="A53" s="166"/>
      <c r="B53" s="29" t="s">
        <v>83</v>
      </c>
      <c r="C53" s="49">
        <v>2.9240301890287159</v>
      </c>
      <c r="D53" s="50">
        <v>2.9413636359900881</v>
      </c>
      <c r="E53" s="110">
        <v>3.0044772800000001</v>
      </c>
      <c r="F53" s="1">
        <f t="shared" si="0"/>
        <v>2.9566237016729349</v>
      </c>
      <c r="G53" s="2">
        <f t="shared" si="1"/>
        <v>3.4569599505144349E-2</v>
      </c>
    </row>
    <row r="54" spans="1:7" x14ac:dyDescent="0.25">
      <c r="A54" s="166"/>
      <c r="B54" s="29" t="s">
        <v>84</v>
      </c>
      <c r="C54" s="49">
        <v>2.7816901110945822</v>
      </c>
      <c r="D54" s="50">
        <v>2.789131668473614</v>
      </c>
      <c r="E54" s="110">
        <v>2.8558127099999999</v>
      </c>
      <c r="F54" s="1">
        <f t="shared" si="0"/>
        <v>2.8088781631893984</v>
      </c>
      <c r="G54" s="2">
        <f t="shared" si="1"/>
        <v>3.3326495538272473E-2</v>
      </c>
    </row>
    <row r="55" spans="1:7" x14ac:dyDescent="0.25">
      <c r="A55" s="166"/>
      <c r="B55" s="29" t="s">
        <v>85</v>
      </c>
      <c r="C55" s="49">
        <v>2.4590532033750749</v>
      </c>
      <c r="D55" s="50">
        <v>2.454930500787631</v>
      </c>
      <c r="E55" s="110">
        <v>2.4772192999999998</v>
      </c>
      <c r="F55" s="1">
        <f t="shared" si="0"/>
        <v>2.4637343347209018</v>
      </c>
      <c r="G55" s="2">
        <f t="shared" si="1"/>
        <v>9.6827126223314793E-3</v>
      </c>
    </row>
    <row r="56" spans="1:7" ht="15.75" thickBot="1" x14ac:dyDescent="0.3">
      <c r="A56" s="167"/>
      <c r="B56" s="30" t="s">
        <v>86</v>
      </c>
      <c r="C56" s="51">
        <v>1.421935982783636</v>
      </c>
      <c r="D56" s="52">
        <v>1.478548444837994</v>
      </c>
      <c r="E56" s="111">
        <v>1.46460422</v>
      </c>
      <c r="F56" s="1">
        <f t="shared" si="0"/>
        <v>1.4550295492072101</v>
      </c>
      <c r="G56" s="2">
        <f t="shared" si="1"/>
        <v>2.4083167781070121E-2</v>
      </c>
    </row>
    <row r="57" spans="1:7" ht="15.75" thickTop="1" x14ac:dyDescent="0.25">
      <c r="A57" s="165" t="s">
        <v>87</v>
      </c>
      <c r="B57" s="31">
        <v>0.9</v>
      </c>
      <c r="C57" s="53">
        <v>41.389463009359126</v>
      </c>
      <c r="D57" s="54">
        <v>35.54899523490473</v>
      </c>
      <c r="E57" s="112">
        <v>43.4104448</v>
      </c>
      <c r="F57" s="1">
        <f t="shared" si="0"/>
        <v>40.116301014754619</v>
      </c>
      <c r="G57" s="2">
        <f t="shared" si="1"/>
        <v>3.3332970079200517</v>
      </c>
    </row>
    <row r="58" spans="1:7" x14ac:dyDescent="0.25">
      <c r="A58" s="166"/>
      <c r="B58" s="32">
        <v>0.8</v>
      </c>
      <c r="C58" s="49">
        <v>43.88968040388027</v>
      </c>
      <c r="D58" s="50">
        <v>36.668716777536289</v>
      </c>
      <c r="E58" s="113">
        <v>45.564711799999998</v>
      </c>
      <c r="F58" s="1">
        <f t="shared" si="0"/>
        <v>42.041036327138848</v>
      </c>
      <c r="G58" s="2">
        <f t="shared" si="1"/>
        <v>3.8598614441262109</v>
      </c>
    </row>
    <row r="59" spans="1:7" x14ac:dyDescent="0.25">
      <c r="A59" s="166"/>
      <c r="B59" s="32">
        <v>0.7</v>
      </c>
      <c r="C59" s="55">
        <v>45.359414152886259</v>
      </c>
      <c r="D59" s="56">
        <v>38.124142978709529</v>
      </c>
      <c r="E59" s="114">
        <v>47.2116623</v>
      </c>
      <c r="F59" s="1">
        <f t="shared" si="0"/>
        <v>43.565073143865256</v>
      </c>
      <c r="G59" s="2">
        <f t="shared" si="1"/>
        <v>3.9209264718259109</v>
      </c>
    </row>
    <row r="60" spans="1:7" x14ac:dyDescent="0.25">
      <c r="A60" s="166"/>
      <c r="B60" s="32">
        <v>0.6</v>
      </c>
      <c r="C60" s="55">
        <v>47.88773928572887</v>
      </c>
      <c r="D60" s="56">
        <v>40.239268413014315</v>
      </c>
      <c r="E60" s="114">
        <v>50.427079300000003</v>
      </c>
      <c r="F60" s="1">
        <f t="shared" si="0"/>
        <v>46.184695666247727</v>
      </c>
      <c r="G60" s="2">
        <f t="shared" si="1"/>
        <v>4.3299838987104478</v>
      </c>
    </row>
    <row r="61" spans="1:7" x14ac:dyDescent="0.25">
      <c r="A61" s="166"/>
      <c r="B61" s="32">
        <v>0.5</v>
      </c>
      <c r="C61" s="55">
        <v>52.584642965051856</v>
      </c>
      <c r="D61" s="56">
        <v>44.040038954079556</v>
      </c>
      <c r="E61" s="114">
        <v>55.630566899999998</v>
      </c>
      <c r="F61" s="1">
        <f t="shared" si="0"/>
        <v>50.751749606377132</v>
      </c>
      <c r="G61" s="2">
        <f t="shared" si="1"/>
        <v>4.9060987939839471</v>
      </c>
    </row>
    <row r="62" spans="1:7" x14ac:dyDescent="0.25">
      <c r="A62" s="166"/>
      <c r="B62" s="32">
        <v>0.4</v>
      </c>
      <c r="C62" s="55">
        <v>62.184212885790025</v>
      </c>
      <c r="D62" s="56">
        <v>51.345991102648718</v>
      </c>
      <c r="E62" s="114">
        <v>64.671766399999996</v>
      </c>
      <c r="F62" s="1">
        <f t="shared" si="0"/>
        <v>59.400656796146244</v>
      </c>
      <c r="G62" s="2">
        <f t="shared" si="1"/>
        <v>5.7853383765641642</v>
      </c>
    </row>
    <row r="63" spans="1:7" x14ac:dyDescent="0.25">
      <c r="A63" s="166"/>
      <c r="B63" s="32">
        <v>0.3</v>
      </c>
      <c r="C63" s="55">
        <v>86.981789613928626</v>
      </c>
      <c r="D63" s="56">
        <v>73.717890900190625</v>
      </c>
      <c r="E63" s="114">
        <v>82.088307900000004</v>
      </c>
      <c r="F63" s="1">
        <f t="shared" si="0"/>
        <v>80.92932947137308</v>
      </c>
      <c r="G63" s="2">
        <f t="shared" si="1"/>
        <v>5.4766276436381327</v>
      </c>
    </row>
    <row r="64" spans="1:7" x14ac:dyDescent="0.25">
      <c r="A64" s="166"/>
      <c r="B64" s="32">
        <v>0.2</v>
      </c>
      <c r="C64" s="55">
        <v>121.01622680913491</v>
      </c>
      <c r="D64" s="56">
        <v>113.66140470019401</v>
      </c>
      <c r="E64" s="114">
        <v>100.681155</v>
      </c>
      <c r="F64" s="1">
        <f t="shared" si="0"/>
        <v>111.78626216977631</v>
      </c>
      <c r="G64" s="2">
        <f t="shared" si="1"/>
        <v>8.4069774989867483</v>
      </c>
    </row>
    <row r="65" spans="1:7" x14ac:dyDescent="0.25">
      <c r="A65" s="166"/>
      <c r="B65" s="32">
        <v>0.1</v>
      </c>
      <c r="C65" s="55">
        <v>127.19431287734197</v>
      </c>
      <c r="D65" s="56">
        <v>119.09693396421309</v>
      </c>
      <c r="E65" s="114">
        <v>112.229041</v>
      </c>
      <c r="F65" s="1">
        <f t="shared" si="0"/>
        <v>119.50676261385168</v>
      </c>
      <c r="G65" s="2">
        <f t="shared" si="1"/>
        <v>6.1164156296662897</v>
      </c>
    </row>
    <row r="66" spans="1:7" x14ac:dyDescent="0.25">
      <c r="A66" s="166"/>
      <c r="B66" s="32">
        <v>0.5</v>
      </c>
      <c r="C66" s="55">
        <v>43.63476378464356</v>
      </c>
      <c r="D66" s="56">
        <v>36.049936329869801</v>
      </c>
      <c r="E66" s="114">
        <v>43.650326</v>
      </c>
      <c r="F66" s="1">
        <f t="shared" si="0"/>
        <v>41.111675371504454</v>
      </c>
      <c r="G66" s="2">
        <f t="shared" si="1"/>
        <v>3.5791956396042455</v>
      </c>
    </row>
    <row r="67" spans="1:7" ht="15.75" thickBot="1" x14ac:dyDescent="0.3">
      <c r="A67" s="167"/>
      <c r="B67" s="33">
        <v>0.2</v>
      </c>
      <c r="C67" s="57">
        <v>67.415001313971857</v>
      </c>
      <c r="D67" s="58">
        <v>59.072459318718913</v>
      </c>
      <c r="E67" s="115">
        <v>71.589490100000006</v>
      </c>
      <c r="F67" s="1">
        <f t="shared" si="0"/>
        <v>66.025650244230249</v>
      </c>
      <c r="G67" s="2">
        <f t="shared" si="1"/>
        <v>5.2036357284196777</v>
      </c>
    </row>
    <row r="68" spans="1:7" ht="15.75" thickTop="1" x14ac:dyDescent="0.25">
      <c r="A68" s="165" t="s">
        <v>88</v>
      </c>
      <c r="B68" s="31">
        <v>0.9</v>
      </c>
      <c r="C68" s="47">
        <v>42.903026224560683</v>
      </c>
      <c r="D68" s="59">
        <v>36.422803536558774</v>
      </c>
      <c r="E68" s="114">
        <v>44.6021292</v>
      </c>
      <c r="F68" s="1">
        <f t="shared" si="0"/>
        <v>41.309319653706488</v>
      </c>
      <c r="G68" s="2">
        <f t="shared" si="1"/>
        <v>3.5242273434655096</v>
      </c>
    </row>
    <row r="69" spans="1:7" x14ac:dyDescent="0.25">
      <c r="A69" s="166"/>
      <c r="B69" s="32">
        <v>0.8</v>
      </c>
      <c r="C69" s="55">
        <v>45.778222312169184</v>
      </c>
      <c r="D69" s="56">
        <v>37.56611046531512</v>
      </c>
      <c r="E69" s="114">
        <v>46.753720100000002</v>
      </c>
      <c r="F69" s="1">
        <f t="shared" si="0"/>
        <v>43.366017625828107</v>
      </c>
      <c r="G69" s="2">
        <f t="shared" si="1"/>
        <v>4.1204442548866851</v>
      </c>
    </row>
    <row r="70" spans="1:7" x14ac:dyDescent="0.25">
      <c r="A70" s="166"/>
      <c r="B70" s="32">
        <v>0.7</v>
      </c>
      <c r="C70" s="55">
        <v>47.615466605625869</v>
      </c>
      <c r="D70" s="56">
        <v>39.129034937316426</v>
      </c>
      <c r="E70" s="114">
        <v>48.517785099999998</v>
      </c>
      <c r="F70" s="1">
        <f t="shared" si="0"/>
        <v>45.08742888098076</v>
      </c>
      <c r="G70" s="2">
        <f t="shared" si="1"/>
        <v>4.2292937516993145</v>
      </c>
    </row>
    <row r="71" spans="1:7" x14ac:dyDescent="0.25">
      <c r="A71" s="166"/>
      <c r="B71" s="32">
        <v>0.6</v>
      </c>
      <c r="C71" s="55">
        <v>50.50266098916223</v>
      </c>
      <c r="D71" s="56">
        <v>41.414898264911457</v>
      </c>
      <c r="E71" s="114">
        <v>51.897858399999997</v>
      </c>
      <c r="F71" s="1">
        <f t="shared" si="0"/>
        <v>47.938472551357897</v>
      </c>
      <c r="G71" s="2">
        <f t="shared" si="1"/>
        <v>4.6478963024068545</v>
      </c>
    </row>
    <row r="72" spans="1:7" x14ac:dyDescent="0.25">
      <c r="A72" s="166"/>
      <c r="B72" s="32">
        <v>0.5</v>
      </c>
      <c r="C72" s="55">
        <v>56.207999141216362</v>
      </c>
      <c r="D72" s="56">
        <v>45.436085097300229</v>
      </c>
      <c r="E72" s="114">
        <v>57.386244900000001</v>
      </c>
      <c r="F72" s="1">
        <f t="shared" si="0"/>
        <v>53.010109712838869</v>
      </c>
      <c r="G72" s="2">
        <f t="shared" si="1"/>
        <v>5.3772020248831369</v>
      </c>
    </row>
    <row r="73" spans="1:7" x14ac:dyDescent="0.25">
      <c r="A73" s="166"/>
      <c r="B73" s="32">
        <v>0.4</v>
      </c>
      <c r="C73" s="55">
        <v>66.545713971323593</v>
      </c>
      <c r="D73" s="56">
        <v>53.274003760484334</v>
      </c>
      <c r="E73" s="114">
        <v>66.559553100000002</v>
      </c>
      <c r="F73" s="1">
        <f t="shared" si="0"/>
        <v>62.126423610602643</v>
      </c>
      <c r="G73" s="2">
        <f t="shared" si="1"/>
        <v>6.2596086556294539</v>
      </c>
    </row>
    <row r="74" spans="1:7" x14ac:dyDescent="0.25">
      <c r="A74" s="166"/>
      <c r="B74" s="32">
        <v>0.3</v>
      </c>
      <c r="C74" s="55">
        <v>91.83407180445667</v>
      </c>
      <c r="D74" s="56">
        <v>76.778857475553053</v>
      </c>
      <c r="E74" s="114">
        <v>82.899961700000006</v>
      </c>
      <c r="F74" s="1">
        <f t="shared" si="0"/>
        <v>83.83763032666991</v>
      </c>
      <c r="G74" s="2">
        <f t="shared" si="1"/>
        <v>6.1819245364954627</v>
      </c>
    </row>
    <row r="75" spans="1:7" x14ac:dyDescent="0.25">
      <c r="A75" s="166"/>
      <c r="B75" s="32">
        <v>0.2</v>
      </c>
      <c r="C75" s="55">
        <v>122.70252241900931</v>
      </c>
      <c r="D75" s="56">
        <v>113.87060550121879</v>
      </c>
      <c r="E75" s="114">
        <v>100.753629</v>
      </c>
      <c r="F75" s="1">
        <f t="shared" si="0"/>
        <v>112.4422523067427</v>
      </c>
      <c r="G75" s="2">
        <f t="shared" si="1"/>
        <v>9.0173397856901261</v>
      </c>
    </row>
    <row r="76" spans="1:7" x14ac:dyDescent="0.25">
      <c r="A76" s="166"/>
      <c r="B76" s="32">
        <v>0.1</v>
      </c>
      <c r="C76" s="55">
        <v>190.14633505269549</v>
      </c>
      <c r="D76" s="56">
        <v>175.60449227276632</v>
      </c>
      <c r="E76" s="114">
        <v>180.08056999999999</v>
      </c>
      <c r="F76" s="1">
        <f t="shared" si="0"/>
        <v>181.94379910848727</v>
      </c>
      <c r="G76" s="2">
        <f t="shared" si="1"/>
        <v>6.0811191345058759</v>
      </c>
    </row>
    <row r="77" spans="1:7" x14ac:dyDescent="0.25">
      <c r="A77" s="166"/>
      <c r="B77" s="32">
        <v>0.5</v>
      </c>
      <c r="C77" s="55">
        <v>44.785851094678939</v>
      </c>
      <c r="D77" s="56">
        <v>36.732273596606163</v>
      </c>
      <c r="E77" s="114">
        <v>44.532913999999998</v>
      </c>
      <c r="F77" s="1">
        <f t="shared" ref="F77:F138" si="10">AVERAGE(C77:E77)</f>
        <v>42.017012897095036</v>
      </c>
      <c r="G77" s="2">
        <f t="shared" ref="G77:G138" si="11">_xlfn.STDEV.P(C77:E77)</f>
        <v>3.7383014323856454</v>
      </c>
    </row>
    <row r="78" spans="1:7" ht="15.75" thickBot="1" x14ac:dyDescent="0.3">
      <c r="A78" s="167"/>
      <c r="B78" s="33">
        <v>0.2</v>
      </c>
      <c r="C78" s="57">
        <v>77.944215992393794</v>
      </c>
      <c r="D78" s="58">
        <v>67.040304692034795</v>
      </c>
      <c r="E78" s="115">
        <v>81.657511900000003</v>
      </c>
      <c r="F78" s="1">
        <f t="shared" si="10"/>
        <v>75.547344194809526</v>
      </c>
      <c r="G78" s="2">
        <f t="shared" si="11"/>
        <v>6.2034631430456448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1.9737792000000001E-2</v>
      </c>
      <c r="D80">
        <f t="shared" ref="D80:E80" si="12">D25</f>
        <v>1.9753152000000003E-2</v>
      </c>
      <c r="E80">
        <f t="shared" si="12"/>
        <v>2.0199936000000002E-2</v>
      </c>
      <c r="F80" s="1">
        <f t="shared" si="10"/>
        <v>1.9896960000000002E-2</v>
      </c>
      <c r="G80" s="2">
        <f t="shared" si="11"/>
        <v>2.1432813601578301E-4</v>
      </c>
    </row>
    <row r="81" spans="1:7" ht="15.75" thickTop="1" x14ac:dyDescent="0.25">
      <c r="A81" s="161" t="s">
        <v>90</v>
      </c>
      <c r="B81" s="38" t="s">
        <v>73</v>
      </c>
      <c r="C81">
        <f>C33/C80</f>
        <v>0</v>
      </c>
      <c r="D81">
        <f t="shared" ref="D81:E81" si="13">D33/D80</f>
        <v>182.91107312252416</v>
      </c>
      <c r="E81">
        <f t="shared" si="13"/>
        <v>183.08760334686207</v>
      </c>
      <c r="F81" s="1">
        <f t="shared" si="10"/>
        <v>121.99955882312874</v>
      </c>
      <c r="G81" s="2">
        <f t="shared" si="11"/>
        <v>86.266745448863688</v>
      </c>
    </row>
    <row r="82" spans="1:7" x14ac:dyDescent="0.25">
      <c r="A82" s="162"/>
      <c r="B82" s="38" t="s">
        <v>74</v>
      </c>
      <c r="C82">
        <f>C34/C80</f>
        <v>181.98930763417525</v>
      </c>
      <c r="D82">
        <f t="shared" ref="D82:E82" si="14">D34/D80</f>
        <v>167.36819731633506</v>
      </c>
      <c r="E82">
        <f t="shared" si="14"/>
        <v>166.46441652092361</v>
      </c>
      <c r="F82" s="1">
        <f t="shared" si="10"/>
        <v>171.94064049047799</v>
      </c>
      <c r="G82" s="2">
        <f t="shared" si="11"/>
        <v>7.1150539213302073</v>
      </c>
    </row>
    <row r="83" spans="1:7" x14ac:dyDescent="0.25">
      <c r="A83" s="162"/>
      <c r="B83" s="38" t="s">
        <v>75</v>
      </c>
      <c r="C83">
        <f>C35/C80</f>
        <v>158.9054441907727</v>
      </c>
      <c r="D83">
        <f t="shared" ref="D83:E83" si="15">D35/D80</f>
        <v>159.23228078024729</v>
      </c>
      <c r="E83">
        <f t="shared" si="15"/>
        <v>159.10133279630193</v>
      </c>
      <c r="F83" s="1">
        <f t="shared" si="10"/>
        <v>159.07968592244063</v>
      </c>
      <c r="G83" s="2">
        <f t="shared" si="11"/>
        <v>0.13430557053679565</v>
      </c>
    </row>
    <row r="84" spans="1:7" x14ac:dyDescent="0.25">
      <c r="A84" s="162"/>
      <c r="B84" s="38" t="s">
        <v>76</v>
      </c>
      <c r="C84">
        <f>C36/C80</f>
        <v>159.50647456811066</v>
      </c>
      <c r="D84">
        <f t="shared" ref="D84:E84" si="16">D36/D80</f>
        <v>159.92184543150756</v>
      </c>
      <c r="E84">
        <f t="shared" si="16"/>
        <v>159.84954754312091</v>
      </c>
      <c r="F84" s="1">
        <f t="shared" si="10"/>
        <v>159.75928918091304</v>
      </c>
      <c r="G84" s="2">
        <f t="shared" si="11"/>
        <v>0.18118713622680493</v>
      </c>
    </row>
    <row r="85" spans="1:7" x14ac:dyDescent="0.25">
      <c r="A85" s="162"/>
      <c r="B85" s="38" t="s">
        <v>77</v>
      </c>
      <c r="C85">
        <f>C37/C80</f>
        <v>159.96402173344433</v>
      </c>
      <c r="D85">
        <f t="shared" ref="D85:E85" si="17">D37/D80</f>
        <v>160.52411155383203</v>
      </c>
      <c r="E85">
        <f t="shared" si="17"/>
        <v>160.2903826031924</v>
      </c>
      <c r="F85" s="1">
        <f t="shared" si="10"/>
        <v>160.25950529682291</v>
      </c>
      <c r="G85" s="2">
        <f t="shared" si="11"/>
        <v>0.22969575204598833</v>
      </c>
    </row>
    <row r="86" spans="1:7" x14ac:dyDescent="0.25">
      <c r="A86" s="162"/>
      <c r="B86" s="38" t="s">
        <v>78</v>
      </c>
      <c r="C86">
        <f>C38/C80</f>
        <v>160.13523489027318</v>
      </c>
      <c r="D86">
        <f t="shared" ref="D86:E86" si="18">D38/D80</f>
        <v>161.00021711995439</v>
      </c>
      <c r="E86">
        <f t="shared" si="18"/>
        <v>160.65723574569739</v>
      </c>
      <c r="F86" s="1">
        <f t="shared" si="10"/>
        <v>160.59756258530834</v>
      </c>
      <c r="G86" s="2">
        <f t="shared" si="11"/>
        <v>0.35563954501637512</v>
      </c>
    </row>
    <row r="87" spans="1:7" x14ac:dyDescent="0.25">
      <c r="A87" s="162"/>
      <c r="B87" s="38" t="s">
        <v>79</v>
      </c>
      <c r="C87">
        <f>C39/C80</f>
        <v>161.44845432838281</v>
      </c>
      <c r="D87">
        <f t="shared" ref="D87:E87" si="19">D39/D80</f>
        <v>162.15686143977294</v>
      </c>
      <c r="E87">
        <f t="shared" si="19"/>
        <v>161.73653025435328</v>
      </c>
      <c r="F87" s="1">
        <f t="shared" si="10"/>
        <v>161.78061534083633</v>
      </c>
      <c r="G87" s="2">
        <f t="shared" si="11"/>
        <v>0.29088116703640488</v>
      </c>
    </row>
    <row r="88" spans="1:7" x14ac:dyDescent="0.25">
      <c r="A88" s="162"/>
      <c r="B88" s="38" t="s">
        <v>80</v>
      </c>
      <c r="C88">
        <f>C40/C80</f>
        <v>161.03398807817729</v>
      </c>
      <c r="D88">
        <f t="shared" ref="D88:E88" si="20">D40/D80</f>
        <v>161.83611169522791</v>
      </c>
      <c r="E88">
        <f t="shared" si="20"/>
        <v>161.25925795012418</v>
      </c>
      <c r="F88" s="1">
        <f t="shared" si="10"/>
        <v>161.37645257450978</v>
      </c>
      <c r="G88" s="2">
        <f t="shared" si="11"/>
        <v>0.3377884044252738</v>
      </c>
    </row>
    <row r="89" spans="1:7" x14ac:dyDescent="0.25">
      <c r="A89" s="162"/>
      <c r="B89" s="38" t="s">
        <v>80</v>
      </c>
      <c r="C89">
        <f>C41/C80</f>
        <v>154.44735220113358</v>
      </c>
      <c r="D89">
        <f t="shared" ref="D89:E89" si="21">D41/D80</f>
        <v>155.20167014112602</v>
      </c>
      <c r="E89">
        <f t="shared" si="21"/>
        <v>154.72391546191037</v>
      </c>
      <c r="F89" s="1">
        <f t="shared" si="10"/>
        <v>154.79097926805665</v>
      </c>
      <c r="G89" s="2">
        <f t="shared" si="11"/>
        <v>0.3115788334913302</v>
      </c>
    </row>
    <row r="90" spans="1:7" x14ac:dyDescent="0.25">
      <c r="A90" s="162"/>
      <c r="B90" s="38" t="s">
        <v>80</v>
      </c>
      <c r="C90">
        <f>C42/C80</f>
        <v>148.49061637122372</v>
      </c>
      <c r="D90">
        <f t="shared" ref="D90:E90" si="22">D42/D80</f>
        <v>149.22627543600305</v>
      </c>
      <c r="E90">
        <f t="shared" si="22"/>
        <v>148.95316599022885</v>
      </c>
      <c r="F90" s="1">
        <f t="shared" si="10"/>
        <v>148.89001926581855</v>
      </c>
      <c r="G90" s="2">
        <f t="shared" si="11"/>
        <v>0.30363266897224389</v>
      </c>
    </row>
    <row r="91" spans="1:7" x14ac:dyDescent="0.25">
      <c r="A91" s="162"/>
      <c r="B91" s="38" t="s">
        <v>80</v>
      </c>
      <c r="C91">
        <f>C43/C80</f>
        <v>131.71527914437348</v>
      </c>
      <c r="D91">
        <f t="shared" ref="D91:E91" si="23">D43/D80</f>
        <v>132.38924162268816</v>
      </c>
      <c r="E91">
        <f t="shared" si="23"/>
        <v>131.91410606449446</v>
      </c>
      <c r="F91" s="1">
        <f t="shared" si="10"/>
        <v>132.00620894385204</v>
      </c>
      <c r="G91" s="2">
        <f t="shared" si="11"/>
        <v>0.28274671920699923</v>
      </c>
    </row>
    <row r="92" spans="1:7" ht="15.75" thickBot="1" x14ac:dyDescent="0.3">
      <c r="A92" s="163"/>
      <c r="B92" s="39" t="s">
        <v>80</v>
      </c>
      <c r="C92">
        <f>C44/C80</f>
        <v>124.87417496408742</v>
      </c>
      <c r="D92">
        <f t="shared" ref="D92:E92" si="24">D44/D80</f>
        <v>124.52992778565712</v>
      </c>
      <c r="E92">
        <f t="shared" si="24"/>
        <v>122.76715926228677</v>
      </c>
      <c r="F92" s="1">
        <f t="shared" si="10"/>
        <v>124.05708733734377</v>
      </c>
      <c r="G92" s="2">
        <f t="shared" si="11"/>
        <v>0.92288040362028112</v>
      </c>
    </row>
    <row r="93" spans="1:7" ht="15.75" thickTop="1" x14ac:dyDescent="0.25">
      <c r="A93" s="161" t="s">
        <v>91</v>
      </c>
      <c r="B93" s="40" t="s">
        <v>73</v>
      </c>
      <c r="C93">
        <f>C45/C80</f>
        <v>165.48948225108234</v>
      </c>
      <c r="D93">
        <f t="shared" ref="D93:E93" si="25">D45/D80</f>
        <v>166.29097158754357</v>
      </c>
      <c r="E93">
        <f t="shared" si="25"/>
        <v>165.62103810625933</v>
      </c>
      <c r="F93" s="1">
        <f t="shared" si="10"/>
        <v>165.80049731496175</v>
      </c>
      <c r="G93" s="2">
        <f t="shared" si="11"/>
        <v>0.35095155867663336</v>
      </c>
    </row>
    <row r="94" spans="1:7" x14ac:dyDescent="0.25">
      <c r="A94" s="162"/>
      <c r="B94" s="38" t="s">
        <v>74</v>
      </c>
      <c r="C94">
        <f>C46/C80</f>
        <v>138.15664103087747</v>
      </c>
      <c r="D94">
        <f t="shared" ref="D94:E94" si="26">D46/D80</f>
        <v>158.78619164505992</v>
      </c>
      <c r="E94">
        <f t="shared" si="26"/>
        <v>158.73136132708538</v>
      </c>
      <c r="F94" s="1">
        <f t="shared" si="10"/>
        <v>151.89139800100759</v>
      </c>
      <c r="G94" s="2">
        <f t="shared" si="11"/>
        <v>9.7119655876087805</v>
      </c>
    </row>
    <row r="95" spans="1:7" x14ac:dyDescent="0.25">
      <c r="A95" s="162"/>
      <c r="B95" s="38" t="s">
        <v>75</v>
      </c>
      <c r="C95">
        <f>C47/C80</f>
        <v>159.03336713037916</v>
      </c>
      <c r="D95">
        <f t="shared" ref="D95:E95" si="27">D47/D80</f>
        <v>159.48146543728501</v>
      </c>
      <c r="E95">
        <f t="shared" si="27"/>
        <v>159.46240869278</v>
      </c>
      <c r="F95" s="1">
        <f t="shared" si="10"/>
        <v>159.32574708681472</v>
      </c>
      <c r="G95" s="2">
        <f t="shared" si="11"/>
        <v>0.20689017871281129</v>
      </c>
    </row>
    <row r="96" spans="1:7" x14ac:dyDescent="0.25">
      <c r="A96" s="162"/>
      <c r="B96" s="38" t="s">
        <v>76</v>
      </c>
      <c r="C96">
        <f>C48/C80</f>
        <v>159.51408969768477</v>
      </c>
      <c r="D96">
        <f t="shared" ref="D96:E96" si="28">D48/D80</f>
        <v>160.10407570763633</v>
      </c>
      <c r="E96">
        <f t="shared" si="28"/>
        <v>159.93049680949483</v>
      </c>
      <c r="F96" s="1">
        <f t="shared" si="10"/>
        <v>159.8495540716053</v>
      </c>
      <c r="G96" s="2">
        <f t="shared" si="11"/>
        <v>0.2475677255451916</v>
      </c>
    </row>
    <row r="97" spans="1:7" x14ac:dyDescent="0.25">
      <c r="A97" s="162"/>
      <c r="B97" s="38" t="s">
        <v>77</v>
      </c>
      <c r="C97">
        <f>C49/C80</f>
        <v>159.70701044459227</v>
      </c>
      <c r="D97">
        <f t="shared" ref="D97:E97" si="29">D49/D80</f>
        <v>160.59289305024092</v>
      </c>
      <c r="E97">
        <f t="shared" si="29"/>
        <v>160.31256881209919</v>
      </c>
      <c r="F97" s="1">
        <f t="shared" si="10"/>
        <v>160.20415743564413</v>
      </c>
      <c r="G97" s="2">
        <f t="shared" si="11"/>
        <v>0.36969516059980156</v>
      </c>
    </row>
    <row r="98" spans="1:7" x14ac:dyDescent="0.25">
      <c r="A98" s="162"/>
      <c r="B98" s="38" t="s">
        <v>78</v>
      </c>
      <c r="C98">
        <f>C50/C80</f>
        <v>160.26203081665716</v>
      </c>
      <c r="D98">
        <f t="shared" ref="D98:E98" si="30">D50/D80</f>
        <v>161.02055785206474</v>
      </c>
      <c r="E98">
        <f t="shared" si="30"/>
        <v>160.61840938505941</v>
      </c>
      <c r="F98" s="1">
        <f t="shared" si="10"/>
        <v>160.63366601792711</v>
      </c>
      <c r="G98" s="2">
        <f t="shared" si="11"/>
        <v>0.30985522371574159</v>
      </c>
    </row>
    <row r="99" spans="1:7" x14ac:dyDescent="0.25">
      <c r="A99" s="162"/>
      <c r="B99" s="38" t="s">
        <v>79</v>
      </c>
      <c r="C99">
        <f>C51/C80</f>
        <v>161.26647034381304</v>
      </c>
      <c r="D99">
        <f t="shared" ref="D99:E99" si="31">D51/D80</f>
        <v>162.08003930892329</v>
      </c>
      <c r="E99">
        <f t="shared" si="31"/>
        <v>161.6023728986072</v>
      </c>
      <c r="F99" s="1">
        <f t="shared" si="10"/>
        <v>161.64962751711451</v>
      </c>
      <c r="G99" s="2">
        <f t="shared" si="11"/>
        <v>0.33381468359489941</v>
      </c>
    </row>
    <row r="100" spans="1:7" x14ac:dyDescent="0.25">
      <c r="A100" s="162"/>
      <c r="B100" s="38" t="s">
        <v>82</v>
      </c>
      <c r="C100">
        <f>C52/C80</f>
        <v>153.99254933500504</v>
      </c>
      <c r="D100">
        <f t="shared" ref="D100:E100" si="32">D52/D80</f>
        <v>154.79185706422268</v>
      </c>
      <c r="E100">
        <f t="shared" si="32"/>
        <v>154.4695800026297</v>
      </c>
      <c r="F100" s="1">
        <f t="shared" si="10"/>
        <v>154.41799546728581</v>
      </c>
      <c r="G100" s="2">
        <f t="shared" si="11"/>
        <v>0.3283483259302038</v>
      </c>
    </row>
    <row r="101" spans="1:7" x14ac:dyDescent="0.25">
      <c r="A101" s="162"/>
      <c r="B101" s="38" t="s">
        <v>83</v>
      </c>
      <c r="C101">
        <f>C53/C80</f>
        <v>148.14373304920409</v>
      </c>
      <c r="D101">
        <f t="shared" ref="D101:E101" si="33">D53/D80</f>
        <v>148.90603970394636</v>
      </c>
      <c r="E101">
        <f t="shared" si="33"/>
        <v>148.73697025574734</v>
      </c>
      <c r="F101" s="1">
        <f t="shared" si="10"/>
        <v>148.59558100296593</v>
      </c>
      <c r="G101" s="2">
        <f t="shared" si="11"/>
        <v>0.32687515411611751</v>
      </c>
    </row>
    <row r="102" spans="1:7" x14ac:dyDescent="0.25">
      <c r="A102" s="162"/>
      <c r="B102" s="38" t="s">
        <v>84</v>
      </c>
      <c r="C102">
        <f>C54/C80</f>
        <v>140.9321828446962</v>
      </c>
      <c r="D102">
        <f t="shared" ref="D102:E102" si="34">D54/D80</f>
        <v>141.19932193472786</v>
      </c>
      <c r="E102">
        <f t="shared" si="34"/>
        <v>141.37731475980914</v>
      </c>
      <c r="F102" s="1">
        <f t="shared" si="10"/>
        <v>141.16960651307772</v>
      </c>
      <c r="G102" s="2">
        <f t="shared" si="11"/>
        <v>0.18293507076904222</v>
      </c>
    </row>
    <row r="103" spans="1:7" x14ac:dyDescent="0.25">
      <c r="A103" s="162"/>
      <c r="B103" s="38" t="s">
        <v>85</v>
      </c>
      <c r="C103">
        <f>C55/C80</f>
        <v>124.58603289441265</v>
      </c>
      <c r="D103">
        <f t="shared" ref="D103:E103" si="35">D55/D80</f>
        <v>124.28044399129975</v>
      </c>
      <c r="E103">
        <f t="shared" si="35"/>
        <v>122.63500735843914</v>
      </c>
      <c r="F103" s="1">
        <f t="shared" si="10"/>
        <v>123.83382808138386</v>
      </c>
      <c r="G103" s="2">
        <f t="shared" si="11"/>
        <v>0.85682533760687019</v>
      </c>
    </row>
    <row r="104" spans="1:7" ht="15.75" thickBot="1" x14ac:dyDescent="0.3">
      <c r="A104" s="163"/>
      <c r="B104" s="39" t="s">
        <v>86</v>
      </c>
      <c r="C104">
        <f>C56/C80</f>
        <v>72.041289257868158</v>
      </c>
      <c r="D104">
        <f t="shared" ref="D104:E104" si="36">D56/D80</f>
        <v>74.851266513718613</v>
      </c>
      <c r="E104">
        <f t="shared" si="36"/>
        <v>72.505389125985346</v>
      </c>
      <c r="F104" s="1">
        <f t="shared" si="10"/>
        <v>73.132648299190706</v>
      </c>
      <c r="G104" s="2">
        <f t="shared" si="11"/>
        <v>1.229927802048266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0.77254765128052161</v>
      </c>
      <c r="D106">
        <f t="shared" ref="D106:E106" si="37">D55/D51</f>
        <v>0.76678438949797012</v>
      </c>
      <c r="E106">
        <f t="shared" si="37"/>
        <v>0.75886885296779016</v>
      </c>
      <c r="F106" s="1">
        <f t="shared" si="10"/>
        <v>0.766066964582094</v>
      </c>
      <c r="G106" s="2">
        <f t="shared" si="11"/>
        <v>5.6073407067602664E-3</v>
      </c>
    </row>
    <row r="107" spans="1:7" ht="15.75" thickBot="1" x14ac:dyDescent="0.3">
      <c r="A107" s="36"/>
      <c r="B107" s="39" t="s">
        <v>94</v>
      </c>
      <c r="D107">
        <f t="shared" ref="D107:E107" si="38">(1-D45/D33)*100</f>
        <v>9.0864381533902634</v>
      </c>
      <c r="E107">
        <f t="shared" si="38"/>
        <v>9.5400043046672494</v>
      </c>
      <c r="F107" s="1">
        <f t="shared" si="10"/>
        <v>9.3132212290287555</v>
      </c>
      <c r="G107" s="2">
        <f t="shared" si="11"/>
        <v>0.22678307563849298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7.737588000000001E-3</v>
      </c>
      <c r="D110">
        <f t="shared" ref="D110:E110" si="39">D16*D21/10^4</f>
        <v>7.737588000000001E-3</v>
      </c>
      <c r="E110">
        <f t="shared" si="39"/>
        <v>7.9095344000000012E-3</v>
      </c>
      <c r="F110" s="1">
        <f t="shared" si="10"/>
        <v>7.7949034666666668E-3</v>
      </c>
      <c r="G110" s="2">
        <f t="shared" si="11"/>
        <v>8.1056310293743151E-5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0</v>
      </c>
      <c r="D111">
        <f t="shared" ref="D111:E111" si="40">D33/D110</f>
        <v>466.95045405264983</v>
      </c>
      <c r="E111">
        <f t="shared" si="40"/>
        <v>467.58224731913418</v>
      </c>
      <c r="F111" s="1">
        <f t="shared" si="10"/>
        <v>311.51090045726136</v>
      </c>
      <c r="G111" s="2">
        <f t="shared" si="11"/>
        <v>220.27162113846808</v>
      </c>
    </row>
    <row r="112" spans="1:7" x14ac:dyDescent="0.25">
      <c r="A112" s="162"/>
      <c r="B112" s="38" t="s">
        <v>74</v>
      </c>
      <c r="C112">
        <f>C34/C110</f>
        <v>464.23602552983726</v>
      </c>
      <c r="D112">
        <f t="shared" ref="D112:E112" si="41">D34/D110</f>
        <v>427.27132041090306</v>
      </c>
      <c r="E112">
        <f t="shared" si="41"/>
        <v>425.12876105577078</v>
      </c>
      <c r="F112" s="1">
        <f t="shared" si="10"/>
        <v>438.87870233217041</v>
      </c>
      <c r="G112" s="2">
        <f t="shared" si="11"/>
        <v>17.951657675746233</v>
      </c>
    </row>
    <row r="113" spans="1:7" x14ac:dyDescent="0.25">
      <c r="A113" s="162"/>
      <c r="B113" s="38" t="s">
        <v>75</v>
      </c>
      <c r="C113">
        <f>C35/C110</f>
        <v>405.35146160600431</v>
      </c>
      <c r="D113">
        <f t="shared" ref="D113:E113" si="42">D35/D110</f>
        <v>406.50128251322036</v>
      </c>
      <c r="E113">
        <f t="shared" si="42"/>
        <v>406.32438996662052</v>
      </c>
      <c r="F113" s="1">
        <f t="shared" si="10"/>
        <v>406.05904469528173</v>
      </c>
      <c r="G113" s="2">
        <f t="shared" si="11"/>
        <v>0.50552158835152838</v>
      </c>
    </row>
    <row r="114" spans="1:7" x14ac:dyDescent="0.25">
      <c r="A114" s="162"/>
      <c r="B114" s="38" t="s">
        <v>76</v>
      </c>
      <c r="C114">
        <f>C36/C110</f>
        <v>406.88462834654132</v>
      </c>
      <c r="D114">
        <f t="shared" ref="D114:E114" si="43">D36/D110</f>
        <v>408.26165995515328</v>
      </c>
      <c r="E114">
        <f t="shared" si="43"/>
        <v>408.23523442795818</v>
      </c>
      <c r="F114" s="1">
        <f t="shared" si="10"/>
        <v>407.79384090988424</v>
      </c>
      <c r="G114" s="2">
        <f t="shared" si="11"/>
        <v>0.64300087668543748</v>
      </c>
    </row>
    <row r="115" spans="1:7" x14ac:dyDescent="0.25">
      <c r="A115" s="162"/>
      <c r="B115" s="38" t="s">
        <v>77</v>
      </c>
      <c r="C115">
        <f>C37/C110</f>
        <v>408.05178415524364</v>
      </c>
      <c r="D115">
        <f t="shared" ref="D115:E115" si="44">D37/D110</f>
        <v>409.79917452154348</v>
      </c>
      <c r="E115">
        <f t="shared" si="44"/>
        <v>409.36107060865675</v>
      </c>
      <c r="F115" s="1">
        <f t="shared" si="10"/>
        <v>409.07067642848125</v>
      </c>
      <c r="G115" s="2">
        <f t="shared" si="11"/>
        <v>0.74233409278626228</v>
      </c>
    </row>
    <row r="116" spans="1:7" x14ac:dyDescent="0.25">
      <c r="A116" s="162"/>
      <c r="B116" s="38" t="s">
        <v>78</v>
      </c>
      <c r="C116">
        <f>C38/C110</f>
        <v>408.48853132725014</v>
      </c>
      <c r="D116">
        <f t="shared" ref="D116:E116" si="45">D38/D110</f>
        <v>411.01461602807768</v>
      </c>
      <c r="E116">
        <f t="shared" si="45"/>
        <v>410.29796646437234</v>
      </c>
      <c r="F116" s="1">
        <f t="shared" si="10"/>
        <v>409.93370460656678</v>
      </c>
      <c r="G116" s="2">
        <f t="shared" si="11"/>
        <v>1.0629490438485245</v>
      </c>
    </row>
    <row r="117" spans="1:7" x14ac:dyDescent="0.25">
      <c r="A117" s="162"/>
      <c r="B117" s="38" t="s">
        <v>79</v>
      </c>
      <c r="C117">
        <f>C39/C110</f>
        <v>411.83841918891511</v>
      </c>
      <c r="D117">
        <f t="shared" ref="D117:E117" si="46">D39/D110</f>
        <v>413.96739292177017</v>
      </c>
      <c r="E117">
        <f t="shared" si="46"/>
        <v>413.05434615721498</v>
      </c>
      <c r="F117" s="1">
        <f t="shared" si="10"/>
        <v>412.95338608930007</v>
      </c>
      <c r="G117" s="2">
        <f t="shared" si="11"/>
        <v>0.87207682776298845</v>
      </c>
    </row>
    <row r="118" spans="1:7" x14ac:dyDescent="0.25">
      <c r="A118" s="162"/>
      <c r="B118" s="38" t="s">
        <v>80</v>
      </c>
      <c r="C118">
        <f>C40/C110</f>
        <v>410.78115836841437</v>
      </c>
      <c r="D118">
        <f t="shared" ref="D118:E118" si="47">D40/D110</f>
        <v>413.14855655338778</v>
      </c>
      <c r="E118">
        <f t="shared" si="47"/>
        <v>411.83545393013264</v>
      </c>
      <c r="F118" s="1">
        <f t="shared" si="10"/>
        <v>411.92172295064489</v>
      </c>
      <c r="G118" s="2">
        <f t="shared" si="11"/>
        <v>0.96840945179160021</v>
      </c>
    </row>
    <row r="119" spans="1:7" x14ac:dyDescent="0.25">
      <c r="A119" s="162"/>
      <c r="B119" s="38" t="s">
        <v>80</v>
      </c>
      <c r="C119">
        <f>C41/C110</f>
        <v>393.97932698105876</v>
      </c>
      <c r="D119">
        <f t="shared" ref="D119:E119" si="48">D41/D110</f>
        <v>396.21160766785766</v>
      </c>
      <c r="E119">
        <f t="shared" si="48"/>
        <v>395.14502775283455</v>
      </c>
      <c r="F119" s="1">
        <f t="shared" si="10"/>
        <v>395.11198746725034</v>
      </c>
      <c r="G119" s="2">
        <f t="shared" si="11"/>
        <v>0.91162419578737208</v>
      </c>
    </row>
    <row r="120" spans="1:7" x14ac:dyDescent="0.25">
      <c r="A120" s="162"/>
      <c r="B120" s="38" t="s">
        <v>80</v>
      </c>
      <c r="C120">
        <f>C42/C110</f>
        <v>378.78430589571434</v>
      </c>
      <c r="D120">
        <f t="shared" ref="D120:E120" si="49">D42/D110</f>
        <v>380.95712786481198</v>
      </c>
      <c r="E120">
        <f t="shared" si="49"/>
        <v>380.40727403625675</v>
      </c>
      <c r="F120" s="1">
        <f t="shared" si="10"/>
        <v>380.04956926559436</v>
      </c>
      <c r="G120" s="2">
        <f t="shared" si="11"/>
        <v>0.92240748571850972</v>
      </c>
    </row>
    <row r="121" spans="1:7" x14ac:dyDescent="0.25">
      <c r="A121" s="162"/>
      <c r="B121" s="38" t="s">
        <v>80</v>
      </c>
      <c r="C121">
        <f>C43/C110</f>
        <v>335.99214418932382</v>
      </c>
      <c r="D121">
        <f t="shared" ref="D121:E121" si="50">D43/D110</f>
        <v>337.97416106126173</v>
      </c>
      <c r="E121">
        <f t="shared" si="50"/>
        <v>336.89170123591595</v>
      </c>
      <c r="F121" s="1">
        <f t="shared" si="10"/>
        <v>336.95266882883379</v>
      </c>
      <c r="G121" s="2">
        <f t="shared" si="11"/>
        <v>0.81030262071289416</v>
      </c>
    </row>
    <row r="122" spans="1:7" ht="15.75" thickBot="1" x14ac:dyDescent="0.3">
      <c r="A122" s="163"/>
      <c r="B122" s="39" t="s">
        <v>80</v>
      </c>
      <c r="C122">
        <f>C44/C110</f>
        <v>318.54119030539812</v>
      </c>
      <c r="D122">
        <f t="shared" ref="D122:E122" si="51">D44/D110</f>
        <v>317.91025731779837</v>
      </c>
      <c r="E122">
        <f t="shared" si="51"/>
        <v>313.53157273075391</v>
      </c>
      <c r="F122" s="1">
        <f t="shared" si="10"/>
        <v>316.66100678465017</v>
      </c>
      <c r="G122" s="2">
        <f t="shared" si="11"/>
        <v>2.2277847340612302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422.14666622978046</v>
      </c>
      <c r="D123">
        <f t="shared" ref="D123:E123" si="52">D45/D110</f>
        <v>424.52128983818079</v>
      </c>
      <c r="E123">
        <f t="shared" si="52"/>
        <v>422.9748807970289</v>
      </c>
      <c r="F123" s="1">
        <f t="shared" si="10"/>
        <v>423.2142789549967</v>
      </c>
      <c r="G123" s="2">
        <f t="shared" si="11"/>
        <v>0.98410464515444551</v>
      </c>
    </row>
    <row r="124" spans="1:7" x14ac:dyDescent="0.25">
      <c r="A124" s="162"/>
      <c r="B124" s="38" t="s">
        <v>74</v>
      </c>
      <c r="C124">
        <f>C46/C110</f>
        <v>352.42339655279198</v>
      </c>
      <c r="D124">
        <f t="shared" ref="D124:E124" si="53">D46/D110</f>
        <v>405.36246942406325</v>
      </c>
      <c r="E124">
        <f t="shared" si="53"/>
        <v>405.37953030459028</v>
      </c>
      <c r="F124" s="1">
        <f t="shared" si="10"/>
        <v>387.72179876048182</v>
      </c>
      <c r="G124" s="2">
        <f t="shared" si="11"/>
        <v>24.959740537918176</v>
      </c>
    </row>
    <row r="125" spans="1:7" x14ac:dyDescent="0.25">
      <c r="A125" s="162"/>
      <c r="B125" s="38" t="s">
        <v>75</v>
      </c>
      <c r="C125">
        <f>C47/C110</f>
        <v>405.6777798816712</v>
      </c>
      <c r="D125">
        <f t="shared" ref="D125:E125" si="54">D47/D110</f>
        <v>407.1374216313194</v>
      </c>
      <c r="E125">
        <f t="shared" si="54"/>
        <v>407.24653147725098</v>
      </c>
      <c r="F125" s="1">
        <f t="shared" si="10"/>
        <v>406.68724433008055</v>
      </c>
      <c r="G125" s="2">
        <f t="shared" si="11"/>
        <v>0.71518766491579644</v>
      </c>
    </row>
    <row r="126" spans="1:7" x14ac:dyDescent="0.25">
      <c r="A126" s="162"/>
      <c r="B126" s="38" t="s">
        <v>76</v>
      </c>
      <c r="C126">
        <f>C48/C110</f>
        <v>406.90405375967867</v>
      </c>
      <c r="D126">
        <f t="shared" ref="D126:E126" si="55">D48/D110</f>
        <v>408.72687241456225</v>
      </c>
      <c r="E126">
        <f t="shared" si="55"/>
        <v>408.44196846782785</v>
      </c>
      <c r="F126" s="1">
        <f t="shared" si="10"/>
        <v>408.02429821402296</v>
      </c>
      <c r="G126" s="2">
        <f t="shared" si="11"/>
        <v>0.80062612699186664</v>
      </c>
    </row>
    <row r="127" spans="1:7" x14ac:dyDescent="0.25">
      <c r="A127" s="162"/>
      <c r="B127" s="38" t="s">
        <v>77</v>
      </c>
      <c r="C127">
        <f>C49/C110</f>
        <v>407.39617476365885</v>
      </c>
      <c r="D127">
        <f t="shared" ref="D127:E127" si="56">D49/D110</f>
        <v>409.97476559118326</v>
      </c>
      <c r="E127">
        <f t="shared" si="56"/>
        <v>409.41773133953365</v>
      </c>
      <c r="F127" s="1">
        <f t="shared" si="10"/>
        <v>408.9295572314586</v>
      </c>
      <c r="G127" s="2">
        <f t="shared" si="11"/>
        <v>1.1078562282758579</v>
      </c>
    </row>
    <row r="128" spans="1:7" x14ac:dyDescent="0.25">
      <c r="A128" s="162"/>
      <c r="B128" s="38" t="s">
        <v>78</v>
      </c>
      <c r="C128">
        <f>C50/C110</f>
        <v>408.81197470797986</v>
      </c>
      <c r="D128">
        <f t="shared" ref="D128:E128" si="57">D50/D110</f>
        <v>411.06654352449738</v>
      </c>
      <c r="E128">
        <f t="shared" si="57"/>
        <v>410.19880892104084</v>
      </c>
      <c r="F128" s="1">
        <f t="shared" si="10"/>
        <v>410.02577571783939</v>
      </c>
      <c r="G128" s="2">
        <f t="shared" si="11"/>
        <v>0.92852050925506402</v>
      </c>
    </row>
    <row r="129" spans="1:7" x14ac:dyDescent="0.25">
      <c r="A129" s="162"/>
      <c r="B129" s="38" t="s">
        <v>79</v>
      </c>
      <c r="C129">
        <f>C51/C110</f>
        <v>411.37419674197565</v>
      </c>
      <c r="D129">
        <f t="shared" ref="D129:E129" si="58">D51/D110</f>
        <v>413.77127505821409</v>
      </c>
      <c r="E129">
        <f t="shared" si="58"/>
        <v>412.71172548411943</v>
      </c>
      <c r="F129" s="1">
        <f t="shared" si="10"/>
        <v>412.61906576143639</v>
      </c>
      <c r="G129" s="2">
        <f t="shared" si="11"/>
        <v>0.9807940598314191</v>
      </c>
    </row>
    <row r="130" spans="1:7" x14ac:dyDescent="0.25">
      <c r="A130" s="162"/>
      <c r="B130" s="38" t="s">
        <v>82</v>
      </c>
      <c r="C130">
        <f>C52/C110</f>
        <v>392.81917159766937</v>
      </c>
      <c r="D130">
        <f t="shared" ref="D130:E130" si="59">D52/D110</f>
        <v>395.16540308838677</v>
      </c>
      <c r="E130">
        <f t="shared" si="59"/>
        <v>394.49548762313992</v>
      </c>
      <c r="F130" s="1">
        <f t="shared" si="10"/>
        <v>394.160020769732</v>
      </c>
      <c r="G130" s="2">
        <f t="shared" si="11"/>
        <v>0.98678064408460719</v>
      </c>
    </row>
    <row r="131" spans="1:7" x14ac:dyDescent="0.25">
      <c r="A131" s="162"/>
      <c r="B131" s="38" t="s">
        <v>83</v>
      </c>
      <c r="C131">
        <f>C53/C110</f>
        <v>377.89944218129932</v>
      </c>
      <c r="D131">
        <f t="shared" ref="D131:E131" si="60">D53/D110</f>
        <v>380.13960370984961</v>
      </c>
      <c r="E131">
        <f t="shared" si="60"/>
        <v>379.85513787006221</v>
      </c>
      <c r="F131" s="1">
        <f t="shared" si="10"/>
        <v>379.29806125373699</v>
      </c>
      <c r="G131" s="2">
        <f t="shared" si="11"/>
        <v>0.9957682748649942</v>
      </c>
    </row>
    <row r="132" spans="1:7" x14ac:dyDescent="0.25">
      <c r="A132" s="162"/>
      <c r="B132" s="38" t="s">
        <v>84</v>
      </c>
      <c r="C132">
        <f>C54/C110</f>
        <v>359.50351855055891</v>
      </c>
      <c r="D132">
        <f t="shared" ref="D132:E132" si="61">D54/D110</f>
        <v>360.46525977780334</v>
      </c>
      <c r="E132">
        <f t="shared" si="61"/>
        <v>361.0595220370999</v>
      </c>
      <c r="F132" s="1">
        <f t="shared" si="10"/>
        <v>360.34276678848738</v>
      </c>
      <c r="G132" s="2">
        <f t="shared" si="11"/>
        <v>0.64111367263307106</v>
      </c>
    </row>
    <row r="133" spans="1:7" x14ac:dyDescent="0.25">
      <c r="A133" s="162"/>
      <c r="B133" s="38" t="s">
        <v>85</v>
      </c>
      <c r="C133">
        <f>C55/C110</f>
        <v>317.80616949042451</v>
      </c>
      <c r="D133">
        <f t="shared" ref="D133:E133" si="62">D55/D110</f>
        <v>317.27335453730939</v>
      </c>
      <c r="E133">
        <f t="shared" si="62"/>
        <v>313.1940737244912</v>
      </c>
      <c r="F133" s="1">
        <f t="shared" si="10"/>
        <v>316.09119925074168</v>
      </c>
      <c r="G133" s="2">
        <f t="shared" si="11"/>
        <v>2.0600930690472743</v>
      </c>
    </row>
    <row r="134" spans="1:7" ht="15.75" thickBot="1" x14ac:dyDescent="0.3">
      <c r="A134" s="163"/>
      <c r="B134" s="39" t="s">
        <v>86</v>
      </c>
      <c r="C134">
        <f>C56/C110</f>
        <v>183.76992711212276</v>
      </c>
      <c r="D134">
        <f t="shared" ref="D134:E134" si="63">D56/D110</f>
        <v>191.08647873704231</v>
      </c>
      <c r="E134">
        <f t="shared" si="63"/>
        <v>185.16946079657987</v>
      </c>
      <c r="F134" s="1">
        <f t="shared" si="10"/>
        <v>186.67528888191498</v>
      </c>
      <c r="G134" s="2">
        <f t="shared" si="11"/>
        <v>3.1710797936944917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DD001</v>
      </c>
      <c r="D137" s="68" t="str">
        <f>D1</f>
        <v>DD002</v>
      </c>
      <c r="E137" s="68" t="str">
        <f>E1</f>
        <v>DD056</v>
      </c>
    </row>
    <row r="138" spans="1:7" ht="14.45" customHeight="1" x14ac:dyDescent="0.25">
      <c r="A138" s="172"/>
      <c r="B138" s="69" t="s">
        <v>100</v>
      </c>
      <c r="C138" s="68">
        <f>C25</f>
        <v>1.9737792000000001E-2</v>
      </c>
      <c r="D138" s="68">
        <f t="shared" ref="D138:E138" si="64">D25</f>
        <v>1.9753152000000003E-2</v>
      </c>
      <c r="E138" s="68">
        <f t="shared" si="64"/>
        <v>2.0199936000000002E-2</v>
      </c>
      <c r="F138" s="1">
        <f t="shared" si="10"/>
        <v>1.9896960000000002E-2</v>
      </c>
      <c r="G138" s="2">
        <f t="shared" si="11"/>
        <v>2.1432813601578301E-4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45</v>
      </c>
      <c r="D142" s="68">
        <f t="shared" ref="D142:E142" si="65">D21</f>
        <v>45</v>
      </c>
      <c r="E142" s="68">
        <f t="shared" si="65"/>
        <v>46</v>
      </c>
      <c r="F142" s="1">
        <f t="shared" ref="F142:F151" si="66">AVERAGE(C142:E142)</f>
        <v>45.333333333333336</v>
      </c>
      <c r="G142" s="2">
        <f t="shared" ref="G142:G151" si="67">_xlfn.STDEV.P(C142:E142)</f>
        <v>0.47140452079103168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 t="shared" ref="D143:E143" si="68">D16</f>
        <v>1.7194640000000001</v>
      </c>
      <c r="E143" s="68">
        <f t="shared" si="68"/>
        <v>1.7194640000000001</v>
      </c>
      <c r="F143" s="1">
        <f t="shared" si="66"/>
        <v>1.7194640000000001</v>
      </c>
      <c r="G143" s="2">
        <f t="shared" si="67"/>
        <v>0</v>
      </c>
    </row>
    <row r="144" spans="1:7" ht="14.45" customHeight="1" x14ac:dyDescent="0.25">
      <c r="A144" s="172"/>
      <c r="B144" s="69" t="s">
        <v>106</v>
      </c>
      <c r="C144" s="68">
        <f>C22</f>
        <v>119.57330889160809</v>
      </c>
      <c r="D144" s="68">
        <f t="shared" ref="D144:E144" si="69">D22</f>
        <v>119.66636114510105</v>
      </c>
      <c r="E144" s="68">
        <f t="shared" si="69"/>
        <v>122.37301856857719</v>
      </c>
      <c r="F144" s="1">
        <f t="shared" si="66"/>
        <v>120.53756286842878</v>
      </c>
      <c r="G144" s="2">
        <f t="shared" si="67"/>
        <v>1.2984190132299387</v>
      </c>
    </row>
    <row r="145" spans="1:7" ht="14.45" customHeight="1" x14ac:dyDescent="0.25">
      <c r="A145" s="172"/>
      <c r="B145" s="69" t="s">
        <v>107</v>
      </c>
      <c r="C145" s="68">
        <f>C24</f>
        <v>40.395140376049014</v>
      </c>
      <c r="D145" s="68">
        <f t="shared" ref="D145:E145" si="70">D24</f>
        <v>40.348755722495866</v>
      </c>
      <c r="E145" s="68">
        <f t="shared" si="70"/>
        <v>40.32563902287184</v>
      </c>
      <c r="F145" s="1">
        <f t="shared" si="66"/>
        <v>40.356511707138907</v>
      </c>
      <c r="G145" s="2">
        <f t="shared" si="67"/>
        <v>2.8898973415467679E-2</v>
      </c>
    </row>
    <row r="146" spans="1:7" ht="14.45" customHeight="1" thickBot="1" x14ac:dyDescent="0.3">
      <c r="A146" s="173"/>
      <c r="B146" s="70" t="s">
        <v>108</v>
      </c>
      <c r="C146" s="68">
        <v>85</v>
      </c>
      <c r="D146" s="68">
        <v>85</v>
      </c>
      <c r="E146">
        <v>85</v>
      </c>
      <c r="F146" s="1">
        <f t="shared" si="66"/>
        <v>85</v>
      </c>
      <c r="G146" s="2">
        <f t="shared" si="67"/>
        <v>0</v>
      </c>
    </row>
    <row r="148" spans="1:7" ht="14.45" customHeight="1" x14ac:dyDescent="0.25">
      <c r="A148" s="168" t="s">
        <v>109</v>
      </c>
      <c r="B148" s="94" t="s">
        <v>110</v>
      </c>
      <c r="C148" s="93">
        <v>3.2914549065029401</v>
      </c>
      <c r="D148">
        <v>3.3147000000000002</v>
      </c>
      <c r="E148">
        <v>3.37</v>
      </c>
      <c r="F148" s="1">
        <f t="shared" si="66"/>
        <v>3.3253849688343138</v>
      </c>
      <c r="G148" s="2">
        <f t="shared" si="67"/>
        <v>3.2943986273250313E-2</v>
      </c>
    </row>
    <row r="149" spans="1:7" ht="14.45" customHeight="1" x14ac:dyDescent="0.25">
      <c r="A149" s="169"/>
      <c r="B149" s="95" t="s">
        <v>111</v>
      </c>
      <c r="C149">
        <v>3.05505</v>
      </c>
      <c r="D149" s="93">
        <v>3.0810355340434401</v>
      </c>
      <c r="E149" s="97">
        <v>3.13</v>
      </c>
      <c r="F149" s="1">
        <f t="shared" si="66"/>
        <v>3.0886951780144805</v>
      </c>
      <c r="G149" s="2">
        <f t="shared" si="67"/>
        <v>3.1073871492754278E-2</v>
      </c>
    </row>
    <row r="150" spans="1:7" ht="14.45" customHeight="1" x14ac:dyDescent="0.25">
      <c r="A150" s="169"/>
      <c r="B150" s="95" t="s">
        <v>112</v>
      </c>
      <c r="C150">
        <v>2.9997699999999998</v>
      </c>
      <c r="D150" s="93">
        <v>3.0278368007306198</v>
      </c>
      <c r="E150">
        <v>3.07</v>
      </c>
      <c r="F150" s="1">
        <f t="shared" si="66"/>
        <v>3.03253560024354</v>
      </c>
      <c r="G150" s="2">
        <f t="shared" si="67"/>
        <v>2.8863151394664256E-2</v>
      </c>
    </row>
    <row r="151" spans="1:7" ht="14.45" customHeight="1" thickBot="1" x14ac:dyDescent="0.3">
      <c r="A151" s="170"/>
      <c r="B151" s="96" t="s">
        <v>113</v>
      </c>
      <c r="C151">
        <v>3.23698</v>
      </c>
      <c r="D151" s="93">
        <v>3.2596238583606301</v>
      </c>
      <c r="E151">
        <v>3.32</v>
      </c>
      <c r="F151" s="1">
        <f t="shared" si="66"/>
        <v>3.2722012861202097</v>
      </c>
      <c r="G151" s="2">
        <f t="shared" si="67"/>
        <v>3.5040204211596551E-2</v>
      </c>
    </row>
  </sheetData>
  <mergeCells count="11">
    <mergeCell ref="A148:A151"/>
    <mergeCell ref="A137:A146"/>
    <mergeCell ref="A93:A104"/>
    <mergeCell ref="A111:A122"/>
    <mergeCell ref="A123:A134"/>
    <mergeCell ref="A81:A92"/>
    <mergeCell ref="A1:A30"/>
    <mergeCell ref="A33:A44"/>
    <mergeCell ref="A45:A56"/>
    <mergeCell ref="A57:A67"/>
    <mergeCell ref="A68:A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zoomScale="85" zoomScaleNormal="85" workbookViewId="0">
      <pane ySplit="1" topLeftCell="A143" activePane="bottomLeft" state="frozen"/>
      <selection pane="bottomLeft" activeCell="B168" sqref="B168"/>
    </sheetView>
  </sheetViews>
  <sheetFormatPr defaultRowHeight="15" x14ac:dyDescent="0.25"/>
  <cols>
    <col min="1" max="1" width="14.28515625" customWidth="1"/>
    <col min="2" max="2" width="43.140625" style="27" customWidth="1"/>
    <col min="3" max="4" width="20.42578125" bestFit="1" customWidth="1"/>
    <col min="5" max="5" width="16.42578125" bestFit="1" customWidth="1"/>
    <col min="6" max="6" width="13.28515625" style="1" bestFit="1" customWidth="1"/>
    <col min="7" max="7" width="17.5703125" style="2" bestFit="1" customWidth="1"/>
  </cols>
  <sheetData>
    <row r="1" spans="1:7" x14ac:dyDescent="0.25">
      <c r="A1" s="164" t="s">
        <v>24</v>
      </c>
      <c r="B1" s="16" t="s">
        <v>25</v>
      </c>
      <c r="C1" t="s">
        <v>114</v>
      </c>
      <c r="D1" t="s">
        <v>115</v>
      </c>
      <c r="E1" t="s">
        <v>116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 t="s">
        <v>117</v>
      </c>
      <c r="D5" s="8" t="s">
        <v>117</v>
      </c>
      <c r="E5" s="8" t="s">
        <v>117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s="8" t="s">
        <v>118</v>
      </c>
      <c r="D8" s="8" t="s">
        <v>119</v>
      </c>
      <c r="E8" s="8" t="s">
        <v>120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2.5722200000000001E-2</v>
      </c>
      <c r="D12" s="8">
        <v>2.5844599999999999E-2</v>
      </c>
      <c r="E12" s="8">
        <v>2.59128E-2</v>
      </c>
      <c r="F12" s="1">
        <f>AVERAGE(C12:E12)</f>
        <v>2.5826533333333332E-2</v>
      </c>
      <c r="G12" s="2">
        <f>_xlfn.STDEV.P(C12:E12)</f>
        <v>7.8853845111629249E-5</v>
      </c>
    </row>
    <row r="13" spans="1:7" x14ac:dyDescent="0.25">
      <c r="A13" s="164"/>
      <c r="B13" s="21" t="s">
        <v>49</v>
      </c>
      <c r="C13" s="8">
        <v>54</v>
      </c>
      <c r="D13" s="8">
        <v>54</v>
      </c>
      <c r="E13" s="8">
        <v>54</v>
      </c>
      <c r="F13" s="1">
        <f t="shared" ref="F13:F76" si="0">AVERAGE(C13:E13)</f>
        <v>54</v>
      </c>
      <c r="G13" s="2">
        <f t="shared" ref="G13:G76" si="1">_xlfn.STDEV.P(C13:E13)</f>
        <v>0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2.0152200000000002E-2</v>
      </c>
      <c r="D18" s="11">
        <f>D12-D14</f>
        <v>2.0274599999999997E-2</v>
      </c>
      <c r="E18" s="11">
        <f>E12-E14</f>
        <v>2.0342800000000001E-2</v>
      </c>
      <c r="F18" s="1">
        <f t="shared" si="0"/>
        <v>2.0256533333333333E-2</v>
      </c>
      <c r="G18" s="2">
        <f t="shared" si="1"/>
        <v>7.8853845111628978E-5</v>
      </c>
    </row>
    <row r="19" spans="1:7" x14ac:dyDescent="0.25">
      <c r="A19" s="164"/>
      <c r="B19" s="23" t="s">
        <v>55</v>
      </c>
      <c r="C19" s="12">
        <f>C18*C10/100*C11</f>
        <v>3.1921084800000004</v>
      </c>
      <c r="D19" s="12">
        <f>D18*D10/100*D11</f>
        <v>3.2114966399999996</v>
      </c>
      <c r="E19" s="12">
        <f>E18*E10/100*E11</f>
        <v>3.22229952</v>
      </c>
      <c r="F19" s="1">
        <f t="shared" si="0"/>
        <v>3.20863488</v>
      </c>
      <c r="G19" s="2">
        <f t="shared" si="1"/>
        <v>1.2490449065681945E-2</v>
      </c>
    </row>
    <row r="20" spans="1:7" x14ac:dyDescent="0.25">
      <c r="A20" s="164"/>
      <c r="B20" s="23" t="s">
        <v>56</v>
      </c>
      <c r="C20" s="12">
        <f>C19/C16</f>
        <v>1.8564555466122001</v>
      </c>
      <c r="D20" s="12">
        <f>D19/D16</f>
        <v>1.8677312464814613</v>
      </c>
      <c r="E20" s="12">
        <f>E19/E16</f>
        <v>1.8740139485327985</v>
      </c>
      <c r="F20" s="1">
        <f t="shared" si="0"/>
        <v>1.8660669138754866</v>
      </c>
      <c r="G20" s="2">
        <f t="shared" si="1"/>
        <v>7.2641527043787874E-3</v>
      </c>
    </row>
    <row r="21" spans="1:7" x14ac:dyDescent="0.25">
      <c r="A21" s="164"/>
      <c r="B21" s="22" t="s">
        <v>57</v>
      </c>
      <c r="C21" s="13">
        <f>C13-C15</f>
        <v>41</v>
      </c>
      <c r="D21" s="13">
        <f>D13-D15</f>
        <v>41</v>
      </c>
      <c r="E21" s="13">
        <f>E13-E15</f>
        <v>41</v>
      </c>
      <c r="F21" s="1">
        <f t="shared" si="0"/>
        <v>41</v>
      </c>
      <c r="G21" s="2">
        <f t="shared" si="1"/>
        <v>0</v>
      </c>
    </row>
    <row r="22" spans="1:7" x14ac:dyDescent="0.25">
      <c r="A22" s="164"/>
      <c r="B22" s="22" t="s">
        <v>58</v>
      </c>
      <c r="C22" s="13">
        <f>C18/(C16/10^4)</f>
        <v>117.20047642753789</v>
      </c>
      <c r="D22" s="13">
        <f>D18/(D16/10^4)</f>
        <v>117.91232616675893</v>
      </c>
      <c r="E22" s="13">
        <f>E18/(E16/10^4)</f>
        <v>118.30896139727265</v>
      </c>
      <c r="F22" s="1">
        <f t="shared" si="0"/>
        <v>117.8072546638565</v>
      </c>
      <c r="G22" s="2">
        <f t="shared" si="1"/>
        <v>0.45859549901381941</v>
      </c>
    </row>
    <row r="23" spans="1:7" x14ac:dyDescent="0.25">
      <c r="A23" s="164"/>
      <c r="B23" s="22" t="s">
        <v>59</v>
      </c>
      <c r="C23" s="13">
        <f>C18/C16/(C21/10^4)</f>
        <v>2.8585482055497042</v>
      </c>
      <c r="D23" s="13">
        <f>D18/D16/(D21/10^4)</f>
        <v>2.8759103943111928</v>
      </c>
      <c r="E23" s="13">
        <f>E18/E16/(E21/10^4)</f>
        <v>2.8855844243237225</v>
      </c>
      <c r="F23" s="1">
        <f t="shared" si="0"/>
        <v>2.8733476747282065</v>
      </c>
      <c r="G23" s="2">
        <f t="shared" si="1"/>
        <v>1.1185256073507684E-2</v>
      </c>
    </row>
    <row r="24" spans="1:7" x14ac:dyDescent="0.25">
      <c r="A24" s="164"/>
      <c r="B24" s="22" t="s">
        <v>60</v>
      </c>
      <c r="C24" s="13">
        <f>(1-C23/C17)*100</f>
        <v>35.878236753034898</v>
      </c>
      <c r="D24" s="13">
        <f>(1-D23/D17)*100</f>
        <v>35.48877536314059</v>
      </c>
      <c r="E24" s="13">
        <f>(1-E23/E17)*100</f>
        <v>35.271771549490303</v>
      </c>
      <c r="F24" s="1">
        <f t="shared" si="0"/>
        <v>35.546261221888592</v>
      </c>
      <c r="G24" s="2">
        <f t="shared" si="1"/>
        <v>0.25090300748110278</v>
      </c>
    </row>
    <row r="25" spans="1:7" x14ac:dyDescent="0.25">
      <c r="A25" s="164"/>
      <c r="B25" s="24" t="s">
        <v>61</v>
      </c>
      <c r="C25" s="14">
        <f>(C18*C10)/100</f>
        <v>1.9346112000000002E-2</v>
      </c>
      <c r="D25" s="14">
        <f>(D18*D10)/100</f>
        <v>1.9463615999999996E-2</v>
      </c>
      <c r="E25" s="14">
        <f>(E18*E10)/100</f>
        <v>1.9529088E-2</v>
      </c>
      <c r="F25" s="1">
        <f t="shared" si="0"/>
        <v>1.9446272000000001E-2</v>
      </c>
      <c r="G25" s="2">
        <f t="shared" si="1"/>
        <v>7.5699691307163283E-5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/>
    </row>
    <row r="28" spans="1:7" x14ac:dyDescent="0.25">
      <c r="A28" s="164"/>
      <c r="B28" s="18" t="s">
        <v>64</v>
      </c>
      <c r="C28" t="s">
        <v>121</v>
      </c>
      <c r="D28" t="s">
        <v>121</v>
      </c>
      <c r="E28" t="s">
        <v>122</v>
      </c>
    </row>
    <row r="29" spans="1:7" x14ac:dyDescent="0.25">
      <c r="A29" s="164"/>
      <c r="B29" s="18" t="s">
        <v>67</v>
      </c>
      <c r="C29" t="s">
        <v>123</v>
      </c>
      <c r="D29" t="s">
        <v>124</v>
      </c>
      <c r="E29" t="s">
        <v>125</v>
      </c>
    </row>
    <row r="30" spans="1:7" x14ac:dyDescent="0.25">
      <c r="A30" s="164"/>
      <c r="B30" s="25" t="s">
        <v>71</v>
      </c>
      <c r="C30" s="92">
        <v>3.5640000000000001</v>
      </c>
      <c r="D30" s="92">
        <v>3.5529999999999999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3.4974183299999999</v>
      </c>
      <c r="D33" s="76">
        <v>3.5626923800000001</v>
      </c>
      <c r="E33" s="118">
        <v>3.3413012200000001</v>
      </c>
      <c r="F33" s="1">
        <f t="shared" si="0"/>
        <v>3.46713731</v>
      </c>
      <c r="G33" s="2">
        <f t="shared" si="1"/>
        <v>9.2884216674010159E-2</v>
      </c>
    </row>
    <row r="34" spans="1:7" x14ac:dyDescent="0.25">
      <c r="A34" s="166"/>
      <c r="B34" s="29" t="s">
        <v>74</v>
      </c>
      <c r="C34" s="78">
        <v>3.2501066000000001</v>
      </c>
      <c r="D34" s="79">
        <v>3.2711540800000001</v>
      </c>
      <c r="E34" s="114">
        <v>3.16642343</v>
      </c>
      <c r="F34" s="1">
        <f t="shared" si="0"/>
        <v>3.2292280366666666</v>
      </c>
      <c r="G34" s="2">
        <f t="shared" si="1"/>
        <v>4.523319627223378E-2</v>
      </c>
    </row>
    <row r="35" spans="1:7" x14ac:dyDescent="0.25">
      <c r="A35" s="166"/>
      <c r="B35" s="29" t="s">
        <v>75</v>
      </c>
      <c r="C35" s="78">
        <v>3.1027655799999998</v>
      </c>
      <c r="D35" s="79">
        <v>3.1131996100000001</v>
      </c>
      <c r="E35" s="114">
        <v>3.07684325</v>
      </c>
      <c r="F35" s="1">
        <f t="shared" si="0"/>
        <v>3.0976028133333333</v>
      </c>
      <c r="G35" s="2">
        <f t="shared" si="1"/>
        <v>1.5284782145503058E-2</v>
      </c>
    </row>
    <row r="36" spans="1:7" x14ac:dyDescent="0.25">
      <c r="A36" s="166"/>
      <c r="B36" s="29" t="s">
        <v>76</v>
      </c>
      <c r="C36" s="78">
        <v>3.1167182100000002</v>
      </c>
      <c r="D36" s="79">
        <v>3.1303696400000001</v>
      </c>
      <c r="E36" s="114">
        <v>3.1169645699999999</v>
      </c>
      <c r="F36" s="1">
        <f t="shared" si="0"/>
        <v>3.1213508066666669</v>
      </c>
      <c r="G36" s="2">
        <f t="shared" si="1"/>
        <v>6.3780712514695474E-3</v>
      </c>
    </row>
    <row r="37" spans="1:7" x14ac:dyDescent="0.25">
      <c r="A37" s="166"/>
      <c r="B37" s="29" t="s">
        <v>77</v>
      </c>
      <c r="C37" s="78">
        <v>3.1285417600000001</v>
      </c>
      <c r="D37" s="79">
        <v>3.14040681</v>
      </c>
      <c r="E37" s="114">
        <v>3.1373026099999999</v>
      </c>
      <c r="F37" s="1">
        <f t="shared" si="0"/>
        <v>3.13541706</v>
      </c>
      <c r="G37" s="2">
        <f t="shared" si="1"/>
        <v>5.0240307176276514E-3</v>
      </c>
    </row>
    <row r="38" spans="1:7" x14ac:dyDescent="0.25">
      <c r="A38" s="166"/>
      <c r="B38" s="29" t="s">
        <v>78</v>
      </c>
      <c r="C38" s="78">
        <v>3.1361006200000001</v>
      </c>
      <c r="D38" s="79">
        <v>3.1435745499999999</v>
      </c>
      <c r="E38" s="114">
        <v>3.15086719</v>
      </c>
      <c r="F38" s="1">
        <f t="shared" si="0"/>
        <v>3.1435141200000003</v>
      </c>
      <c r="G38" s="2">
        <f t="shared" si="1"/>
        <v>6.0285783968195691E-3</v>
      </c>
    </row>
    <row r="39" spans="1:7" x14ac:dyDescent="0.25">
      <c r="A39" s="166"/>
      <c r="B39" s="29" t="s">
        <v>79</v>
      </c>
      <c r="C39" s="78">
        <v>3.1612475799999999</v>
      </c>
      <c r="D39" s="79">
        <v>3.1707885099999999</v>
      </c>
      <c r="E39" s="114">
        <v>3.1774313699999999</v>
      </c>
      <c r="F39" s="1">
        <f t="shared" si="0"/>
        <v>3.1698224866666664</v>
      </c>
      <c r="G39" s="2">
        <f t="shared" si="1"/>
        <v>6.6422217920127065E-3</v>
      </c>
    </row>
    <row r="40" spans="1:7" x14ac:dyDescent="0.25">
      <c r="A40" s="166"/>
      <c r="B40" s="29" t="s">
        <v>80</v>
      </c>
      <c r="C40" s="78">
        <v>3.1545261999999998</v>
      </c>
      <c r="D40" s="79">
        <v>3.16440543</v>
      </c>
      <c r="E40" s="114">
        <v>3.1712592700000002</v>
      </c>
      <c r="F40" s="1">
        <f t="shared" si="0"/>
        <v>3.1633969666666668</v>
      </c>
      <c r="G40" s="2">
        <f t="shared" si="1"/>
        <v>6.8683649984178042E-3</v>
      </c>
    </row>
    <row r="41" spans="1:7" x14ac:dyDescent="0.25">
      <c r="A41" s="166"/>
      <c r="B41" s="29" t="s">
        <v>80</v>
      </c>
      <c r="C41" s="78">
        <v>3.0272388299999999</v>
      </c>
      <c r="D41" s="79">
        <v>3.0365136800000001</v>
      </c>
      <c r="E41" s="114">
        <v>3.0426309800000002</v>
      </c>
      <c r="F41" s="1">
        <f t="shared" si="0"/>
        <v>3.0354611633333337</v>
      </c>
      <c r="G41" s="2">
        <f t="shared" si="1"/>
        <v>6.3277386116387295E-3</v>
      </c>
    </row>
    <row r="42" spans="1:7" x14ac:dyDescent="0.25">
      <c r="A42" s="166"/>
      <c r="B42" s="29" t="s">
        <v>80</v>
      </c>
      <c r="C42" s="78">
        <v>2.9143537199999998</v>
      </c>
      <c r="D42" s="79">
        <v>2.92459764</v>
      </c>
      <c r="E42" s="114">
        <v>2.9302674999999998</v>
      </c>
      <c r="F42" s="1">
        <f t="shared" si="0"/>
        <v>2.9230729533333331</v>
      </c>
      <c r="G42" s="2">
        <f t="shared" si="1"/>
        <v>6.5856207272984033E-3</v>
      </c>
    </row>
    <row r="43" spans="1:7" x14ac:dyDescent="0.25">
      <c r="A43" s="166"/>
      <c r="B43" s="29" t="s">
        <v>80</v>
      </c>
      <c r="C43" s="78">
        <v>2.5784642500000001</v>
      </c>
      <c r="D43" s="79">
        <v>2.5854276</v>
      </c>
      <c r="E43" s="114">
        <v>2.5917550899999999</v>
      </c>
      <c r="F43" s="1">
        <f t="shared" si="0"/>
        <v>2.5852156466666667</v>
      </c>
      <c r="G43" s="2">
        <f t="shared" si="1"/>
        <v>5.4280321872069524E-3</v>
      </c>
    </row>
    <row r="44" spans="1:7" ht="15.75" thickBot="1" x14ac:dyDescent="0.3">
      <c r="A44" s="167"/>
      <c r="B44" s="30" t="s">
        <v>80</v>
      </c>
      <c r="C44" s="81">
        <v>2.46104316</v>
      </c>
      <c r="D44" s="82">
        <v>2.48392268</v>
      </c>
      <c r="E44" s="115">
        <v>2.4668250399999998</v>
      </c>
      <c r="F44" s="1">
        <f t="shared" si="0"/>
        <v>2.47059696</v>
      </c>
      <c r="G44" s="2">
        <f t="shared" si="1"/>
        <v>9.7138610319618818E-3</v>
      </c>
    </row>
    <row r="45" spans="1:7" ht="15.75" thickTop="1" x14ac:dyDescent="0.25">
      <c r="A45" s="165" t="s">
        <v>81</v>
      </c>
      <c r="B45" s="28" t="s">
        <v>73</v>
      </c>
      <c r="C45" s="78">
        <v>3.1983545699999998</v>
      </c>
      <c r="D45" s="79">
        <v>3.2396306500000001</v>
      </c>
      <c r="E45" s="114">
        <v>2.99373077</v>
      </c>
      <c r="F45" s="1">
        <f t="shared" si="0"/>
        <v>3.1439053300000004</v>
      </c>
      <c r="G45" s="2">
        <f t="shared" si="1"/>
        <v>0.10751814590550687</v>
      </c>
    </row>
    <row r="46" spans="1:7" x14ac:dyDescent="0.25">
      <c r="A46" s="166"/>
      <c r="B46" s="29" t="s">
        <v>74</v>
      </c>
      <c r="C46" s="78">
        <v>3.0894021600000001</v>
      </c>
      <c r="D46" s="79">
        <v>3.10058057</v>
      </c>
      <c r="E46" s="114">
        <v>3.0019749</v>
      </c>
      <c r="F46" s="1">
        <f t="shared" si="0"/>
        <v>3.063985876666667</v>
      </c>
      <c r="G46" s="2">
        <f t="shared" si="1"/>
        <v>4.4085221506361481E-2</v>
      </c>
    </row>
    <row r="47" spans="1:7" x14ac:dyDescent="0.25">
      <c r="A47" s="166"/>
      <c r="B47" s="29" t="s">
        <v>75</v>
      </c>
      <c r="C47" s="78">
        <v>3.1061383199999999</v>
      </c>
      <c r="D47" s="79">
        <v>3.1174422499999999</v>
      </c>
      <c r="E47" s="114">
        <v>3.0821276700000002</v>
      </c>
      <c r="F47" s="1">
        <f t="shared" si="0"/>
        <v>3.1019027466666667</v>
      </c>
      <c r="G47" s="2">
        <f t="shared" si="1"/>
        <v>1.4724921080504452E-2</v>
      </c>
    </row>
    <row r="48" spans="1:7" x14ac:dyDescent="0.25">
      <c r="A48" s="166"/>
      <c r="B48" s="29" t="s">
        <v>76</v>
      </c>
      <c r="C48" s="78">
        <v>3.1193875000000002</v>
      </c>
      <c r="D48" s="79">
        <v>3.1285253200000001</v>
      </c>
      <c r="E48" s="114">
        <v>3.1196296800000001</v>
      </c>
      <c r="F48" s="1">
        <f t="shared" si="0"/>
        <v>3.1225141666666665</v>
      </c>
      <c r="G48" s="2">
        <f t="shared" si="1"/>
        <v>4.2516770091916142E-3</v>
      </c>
    </row>
    <row r="49" spans="1:7" x14ac:dyDescent="0.25">
      <c r="A49" s="166"/>
      <c r="B49" s="29" t="s">
        <v>77</v>
      </c>
      <c r="C49" s="78">
        <v>3.1273520600000002</v>
      </c>
      <c r="D49" s="79">
        <v>3.13170891</v>
      </c>
      <c r="E49" s="114">
        <v>3.1378560800000002</v>
      </c>
      <c r="F49" s="1">
        <f t="shared" si="0"/>
        <v>3.1323056833333336</v>
      </c>
      <c r="G49" s="2">
        <f t="shared" si="1"/>
        <v>4.3089606518380728E-3</v>
      </c>
    </row>
    <row r="50" spans="1:7" x14ac:dyDescent="0.25">
      <c r="A50" s="166"/>
      <c r="B50" s="29" t="s">
        <v>78</v>
      </c>
      <c r="C50" s="78">
        <v>3.1381446999999998</v>
      </c>
      <c r="D50" s="79">
        <v>3.1452827299999999</v>
      </c>
      <c r="E50" s="114">
        <v>3.1499162200000002</v>
      </c>
      <c r="F50" s="1">
        <f t="shared" si="0"/>
        <v>3.1444478833333331</v>
      </c>
      <c r="G50" s="2">
        <f t="shared" si="1"/>
        <v>4.8418245524619787E-3</v>
      </c>
    </row>
    <row r="51" spans="1:7" x14ac:dyDescent="0.25">
      <c r="A51" s="166"/>
      <c r="B51" s="29" t="s">
        <v>79</v>
      </c>
      <c r="C51" s="78">
        <v>3.1581814499999998</v>
      </c>
      <c r="D51" s="79">
        <v>3.1638044299999999</v>
      </c>
      <c r="E51" s="114">
        <v>3.1730616899999999</v>
      </c>
      <c r="F51" s="1">
        <f t="shared" si="0"/>
        <v>3.1650158566666668</v>
      </c>
      <c r="G51" s="2">
        <f t="shared" si="1"/>
        <v>6.134930129508896E-3</v>
      </c>
    </row>
    <row r="52" spans="1:7" x14ac:dyDescent="0.25">
      <c r="A52" s="166"/>
      <c r="B52" s="29" t="s">
        <v>82</v>
      </c>
      <c r="C52" s="78">
        <v>3.0181558900000001</v>
      </c>
      <c r="D52" s="79">
        <v>3.0198178599999999</v>
      </c>
      <c r="E52" s="114">
        <v>3.0290015800000001</v>
      </c>
      <c r="F52" s="1">
        <f t="shared" si="0"/>
        <v>3.0223251100000001</v>
      </c>
      <c r="G52" s="2">
        <f t="shared" si="1"/>
        <v>4.7694845854243445E-3</v>
      </c>
    </row>
    <row r="53" spans="1:7" x14ac:dyDescent="0.25">
      <c r="A53" s="166"/>
      <c r="B53" s="29" t="s">
        <v>83</v>
      </c>
      <c r="C53" s="78">
        <v>2.9072653700000002</v>
      </c>
      <c r="D53" s="79">
        <v>2.9133799100000002</v>
      </c>
      <c r="E53" s="114">
        <v>2.9206132199999999</v>
      </c>
      <c r="F53" s="1">
        <f t="shared" si="0"/>
        <v>2.9137528333333336</v>
      </c>
      <c r="G53" s="2">
        <f t="shared" si="1"/>
        <v>5.4556135472270751E-3</v>
      </c>
    </row>
    <row r="54" spans="1:7" x14ac:dyDescent="0.25">
      <c r="A54" s="166"/>
      <c r="B54" s="29" t="s">
        <v>84</v>
      </c>
      <c r="C54" s="78">
        <v>2.7617254099999999</v>
      </c>
      <c r="D54" s="79">
        <v>2.77594444</v>
      </c>
      <c r="E54" s="114">
        <v>2.7764415699999998</v>
      </c>
      <c r="F54" s="1">
        <f t="shared" si="0"/>
        <v>2.7713704733333331</v>
      </c>
      <c r="G54" s="2">
        <f t="shared" si="1"/>
        <v>6.8231087532117773E-3</v>
      </c>
    </row>
    <row r="55" spans="1:7" x14ac:dyDescent="0.25">
      <c r="A55" s="166"/>
      <c r="B55" s="29" t="s">
        <v>85</v>
      </c>
      <c r="C55" s="78">
        <v>2.4548576799999999</v>
      </c>
      <c r="D55" s="79">
        <v>2.4711632799999999</v>
      </c>
      <c r="E55" s="114">
        <v>2.4564587100000002</v>
      </c>
      <c r="F55" s="1">
        <f t="shared" si="0"/>
        <v>2.4608265566666669</v>
      </c>
      <c r="G55" s="2">
        <f t="shared" si="1"/>
        <v>7.338333653613356E-3</v>
      </c>
    </row>
    <row r="56" spans="1:7" ht="15.75" thickBot="1" x14ac:dyDescent="0.3">
      <c r="A56" s="167"/>
      <c r="B56" s="30" t="s">
        <v>86</v>
      </c>
      <c r="C56" s="81">
        <v>1.6480311299999999</v>
      </c>
      <c r="D56" s="82">
        <v>1.7345165</v>
      </c>
      <c r="E56" s="115">
        <v>1.6657253999999999</v>
      </c>
      <c r="F56" s="1">
        <f t="shared" si="0"/>
        <v>1.6827576766666665</v>
      </c>
      <c r="G56" s="2">
        <f t="shared" si="1"/>
        <v>3.7305081354927501E-2</v>
      </c>
    </row>
    <row r="57" spans="1:7" ht="15.75" thickTop="1" x14ac:dyDescent="0.25">
      <c r="A57" s="165" t="s">
        <v>87</v>
      </c>
      <c r="B57" s="31">
        <v>0.9</v>
      </c>
      <c r="C57" s="84">
        <v>25.0159044</v>
      </c>
      <c r="D57" s="85">
        <v>20.253694200000002</v>
      </c>
      <c r="E57" s="112">
        <v>20.279988199999998</v>
      </c>
      <c r="F57" s="1">
        <f t="shared" si="0"/>
        <v>21.849862266666666</v>
      </c>
      <c r="G57" s="2">
        <f t="shared" si="1"/>
        <v>2.2387555972221658</v>
      </c>
    </row>
    <row r="58" spans="1:7" x14ac:dyDescent="0.25">
      <c r="A58" s="166"/>
      <c r="B58" s="32">
        <v>0.8</v>
      </c>
      <c r="C58" s="87">
        <v>26.019914499999999</v>
      </c>
      <c r="D58" s="88">
        <v>21.303681000000001</v>
      </c>
      <c r="E58" s="119">
        <v>21.275470599999998</v>
      </c>
      <c r="F58" s="1">
        <f t="shared" si="0"/>
        <v>22.866355366666664</v>
      </c>
      <c r="G58" s="2">
        <f t="shared" si="1"/>
        <v>2.2299327885595712</v>
      </c>
    </row>
    <row r="59" spans="1:7" x14ac:dyDescent="0.25">
      <c r="A59" s="166"/>
      <c r="B59" s="32">
        <v>0.7</v>
      </c>
      <c r="C59" s="78">
        <v>27.4622648</v>
      </c>
      <c r="D59" s="79">
        <v>23.0908877</v>
      </c>
      <c r="E59" s="114">
        <v>22.7306597</v>
      </c>
      <c r="F59" s="1">
        <f t="shared" si="0"/>
        <v>24.427937400000001</v>
      </c>
      <c r="G59" s="2">
        <f t="shared" si="1"/>
        <v>2.1506275255979075</v>
      </c>
    </row>
    <row r="60" spans="1:7" x14ac:dyDescent="0.25">
      <c r="A60" s="166"/>
      <c r="B60" s="32">
        <v>0.6</v>
      </c>
      <c r="C60" s="78">
        <v>29.8221773</v>
      </c>
      <c r="D60" s="79">
        <v>26.167726999999999</v>
      </c>
      <c r="E60" s="114">
        <v>24.957023299999999</v>
      </c>
      <c r="F60" s="1">
        <f t="shared" si="0"/>
        <v>26.9823092</v>
      </c>
      <c r="G60" s="2">
        <f t="shared" si="1"/>
        <v>2.0680246583550259</v>
      </c>
    </row>
    <row r="61" spans="1:7" x14ac:dyDescent="0.25">
      <c r="A61" s="166"/>
      <c r="B61" s="32">
        <v>0.5</v>
      </c>
      <c r="C61" s="78">
        <v>34.079391299999997</v>
      </c>
      <c r="D61" s="79">
        <v>32.320076899999997</v>
      </c>
      <c r="E61" s="114">
        <v>29.0276225</v>
      </c>
      <c r="F61" s="1">
        <f t="shared" si="0"/>
        <v>31.809030233333335</v>
      </c>
      <c r="G61" s="2">
        <f t="shared" si="1"/>
        <v>2.0937953615060998</v>
      </c>
    </row>
    <row r="62" spans="1:7" x14ac:dyDescent="0.25">
      <c r="A62" s="166"/>
      <c r="B62" s="32">
        <v>0.4</v>
      </c>
      <c r="C62" s="78">
        <v>43.2757474</v>
      </c>
      <c r="D62" s="79">
        <v>45.4038951</v>
      </c>
      <c r="E62" s="114">
        <v>37.951540299999998</v>
      </c>
      <c r="F62" s="1">
        <f t="shared" si="0"/>
        <v>42.210394266666668</v>
      </c>
      <c r="G62" s="2">
        <f t="shared" si="1"/>
        <v>3.1342868397024688</v>
      </c>
    </row>
    <row r="63" spans="1:7" x14ac:dyDescent="0.25">
      <c r="A63" s="166"/>
      <c r="B63" s="32">
        <v>0.3</v>
      </c>
      <c r="C63" s="78">
        <v>68.144637599999996</v>
      </c>
      <c r="D63" s="79">
        <v>67.522937900000002</v>
      </c>
      <c r="E63" s="114">
        <v>60.452612999999999</v>
      </c>
      <c r="F63" s="1">
        <f t="shared" si="0"/>
        <v>65.373396166666666</v>
      </c>
      <c r="G63" s="2">
        <f t="shared" si="1"/>
        <v>3.4887636644192015</v>
      </c>
    </row>
    <row r="64" spans="1:7" x14ac:dyDescent="0.25">
      <c r="A64" s="166"/>
      <c r="B64" s="32">
        <v>0.2</v>
      </c>
      <c r="C64" s="78">
        <v>84.645125399999998</v>
      </c>
      <c r="D64" s="79">
        <v>76.428999899999994</v>
      </c>
      <c r="E64" s="114">
        <v>78.105303899999996</v>
      </c>
      <c r="F64" s="1">
        <f t="shared" si="0"/>
        <v>79.726476399999996</v>
      </c>
      <c r="G64" s="2">
        <f t="shared" si="1"/>
        <v>3.5446983664814855</v>
      </c>
    </row>
    <row r="65" spans="1:7" x14ac:dyDescent="0.25">
      <c r="A65" s="166"/>
      <c r="B65" s="32">
        <v>0.1</v>
      </c>
      <c r="C65" s="78">
        <v>92.721508299999996</v>
      </c>
      <c r="D65" s="79">
        <v>84.4889498</v>
      </c>
      <c r="E65" s="114">
        <v>85.439891900000006</v>
      </c>
      <c r="F65" s="1">
        <f t="shared" si="0"/>
        <v>87.550116666666668</v>
      </c>
      <c r="G65" s="2">
        <f t="shared" si="1"/>
        <v>3.6772762826463983</v>
      </c>
    </row>
    <row r="66" spans="1:7" x14ac:dyDescent="0.25">
      <c r="A66" s="166"/>
      <c r="B66" s="32">
        <v>0.5</v>
      </c>
      <c r="C66" s="78">
        <v>22.8184851</v>
      </c>
      <c r="D66" s="79">
        <v>16.495074800000001</v>
      </c>
      <c r="E66" s="114">
        <v>17.3340277</v>
      </c>
      <c r="F66" s="1">
        <f t="shared" si="0"/>
        <v>18.8825292</v>
      </c>
      <c r="G66" s="2">
        <f t="shared" si="1"/>
        <v>2.8041364835023237</v>
      </c>
    </row>
    <row r="67" spans="1:7" ht="15.75" thickBot="1" x14ac:dyDescent="0.3">
      <c r="A67" s="167"/>
      <c r="B67" s="33">
        <v>0.2</v>
      </c>
      <c r="C67" s="81">
        <v>46.623812200000003</v>
      </c>
      <c r="D67" s="82">
        <v>49.116444999999999</v>
      </c>
      <c r="E67" s="115">
        <v>41.454447299999998</v>
      </c>
      <c r="F67" s="1">
        <f t="shared" si="0"/>
        <v>45.731568166666669</v>
      </c>
      <c r="G67" s="2">
        <f t="shared" si="1"/>
        <v>3.190990102352302</v>
      </c>
    </row>
    <row r="68" spans="1:7" ht="15.75" thickTop="1" x14ac:dyDescent="0.25">
      <c r="A68" s="165" t="s">
        <v>88</v>
      </c>
      <c r="B68" s="31">
        <v>0.9</v>
      </c>
      <c r="C68" s="78">
        <v>25.370325600000001</v>
      </c>
      <c r="D68" s="79">
        <v>20.546228500000002</v>
      </c>
      <c r="E68" s="114">
        <v>20.686898599999999</v>
      </c>
      <c r="F68" s="1">
        <f t="shared" si="0"/>
        <v>22.201150899999998</v>
      </c>
      <c r="G68" s="2">
        <f t="shared" si="1"/>
        <v>2.2416806535274461</v>
      </c>
    </row>
    <row r="69" spans="1:7" x14ac:dyDescent="0.25">
      <c r="A69" s="166"/>
      <c r="B69" s="32">
        <v>0.8</v>
      </c>
      <c r="C69" s="78">
        <v>26.456638099999999</v>
      </c>
      <c r="D69" s="79">
        <v>21.6734495</v>
      </c>
      <c r="E69" s="114">
        <v>21.7338071</v>
      </c>
      <c r="F69" s="1">
        <f t="shared" si="0"/>
        <v>23.287964900000002</v>
      </c>
      <c r="G69" s="2">
        <f t="shared" si="1"/>
        <v>2.2407257970381114</v>
      </c>
    </row>
    <row r="70" spans="1:7" x14ac:dyDescent="0.25">
      <c r="A70" s="166"/>
      <c r="B70" s="32">
        <v>0.7</v>
      </c>
      <c r="C70" s="78">
        <v>27.9363511</v>
      </c>
      <c r="D70" s="79">
        <v>23.495262499999999</v>
      </c>
      <c r="E70" s="114">
        <v>23.205720899999999</v>
      </c>
      <c r="F70" s="1">
        <f t="shared" si="0"/>
        <v>24.879111499999997</v>
      </c>
      <c r="G70" s="2">
        <f t="shared" si="1"/>
        <v>2.1650241050834764</v>
      </c>
    </row>
    <row r="71" spans="1:7" x14ac:dyDescent="0.25">
      <c r="A71" s="166"/>
      <c r="B71" s="32">
        <v>0.6</v>
      </c>
      <c r="C71" s="78">
        <v>30.4520731</v>
      </c>
      <c r="D71" s="79">
        <v>26.7483109</v>
      </c>
      <c r="E71" s="114">
        <v>25.4716497</v>
      </c>
      <c r="F71" s="1">
        <f t="shared" si="0"/>
        <v>27.557344566666668</v>
      </c>
      <c r="G71" s="2">
        <f t="shared" si="1"/>
        <v>2.1121956847740173</v>
      </c>
    </row>
    <row r="72" spans="1:7" x14ac:dyDescent="0.25">
      <c r="A72" s="166"/>
      <c r="B72" s="32">
        <v>0.5</v>
      </c>
      <c r="C72" s="78">
        <v>34.860838899999997</v>
      </c>
      <c r="D72" s="79">
        <v>32.961100700000003</v>
      </c>
      <c r="E72" s="114">
        <v>29.799902299999999</v>
      </c>
      <c r="F72" s="1">
        <f t="shared" si="0"/>
        <v>32.540613966666669</v>
      </c>
      <c r="G72" s="2">
        <f t="shared" si="1"/>
        <v>2.0874029537500882</v>
      </c>
    </row>
    <row r="73" spans="1:7" x14ac:dyDescent="0.25">
      <c r="A73" s="166"/>
      <c r="B73" s="32">
        <v>0.4</v>
      </c>
      <c r="C73" s="78">
        <v>44.335823099999999</v>
      </c>
      <c r="D73" s="79">
        <v>45.587696800000003</v>
      </c>
      <c r="E73" s="114">
        <v>39.080828699999998</v>
      </c>
      <c r="F73" s="1">
        <f t="shared" si="0"/>
        <v>43.001449533333336</v>
      </c>
      <c r="G73" s="2">
        <f t="shared" si="1"/>
        <v>2.8190125610768342</v>
      </c>
    </row>
    <row r="74" spans="1:7" x14ac:dyDescent="0.25">
      <c r="A74" s="166"/>
      <c r="B74" s="32">
        <v>0.3</v>
      </c>
      <c r="C74" s="78">
        <v>66.601396399999999</v>
      </c>
      <c r="D74" s="79">
        <v>63.375693800000001</v>
      </c>
      <c r="E74" s="114">
        <v>59.394028499999997</v>
      </c>
      <c r="F74" s="1">
        <f t="shared" si="0"/>
        <v>63.12370623333333</v>
      </c>
      <c r="G74" s="2">
        <f t="shared" si="1"/>
        <v>2.9477857579097737</v>
      </c>
    </row>
    <row r="75" spans="1:7" x14ac:dyDescent="0.25">
      <c r="A75" s="166"/>
      <c r="B75" s="32">
        <v>0.2</v>
      </c>
      <c r="C75" s="78">
        <v>81.416256300000001</v>
      </c>
      <c r="D75" s="79">
        <v>72.506738900000002</v>
      </c>
      <c r="E75" s="114">
        <v>75.181181699999996</v>
      </c>
      <c r="F75" s="1">
        <f t="shared" si="0"/>
        <v>76.368058966666666</v>
      </c>
      <c r="G75" s="2">
        <f t="shared" si="1"/>
        <v>3.732861575237179</v>
      </c>
    </row>
    <row r="76" spans="1:7" x14ac:dyDescent="0.25">
      <c r="A76" s="166"/>
      <c r="B76" s="32">
        <v>0.1</v>
      </c>
      <c r="C76" s="78">
        <v>148.685092</v>
      </c>
      <c r="D76" s="79">
        <v>139.405697</v>
      </c>
      <c r="E76" s="114">
        <v>139.24362199999999</v>
      </c>
      <c r="F76" s="1">
        <f t="shared" si="0"/>
        <v>142.44480366666664</v>
      </c>
      <c r="G76" s="2">
        <f t="shared" si="1"/>
        <v>4.413046259955312</v>
      </c>
    </row>
    <row r="77" spans="1:7" x14ac:dyDescent="0.25">
      <c r="A77" s="166"/>
      <c r="B77" s="32">
        <v>0.5</v>
      </c>
      <c r="C77" s="78">
        <v>22.906043700000001</v>
      </c>
      <c r="D77" s="79">
        <v>16.615635000000001</v>
      </c>
      <c r="E77" s="114">
        <v>17.404245499999998</v>
      </c>
      <c r="F77" s="1">
        <f t="shared" ref="F77:F138" si="2">AVERAGE(C77:E77)</f>
        <v>18.975308066666667</v>
      </c>
      <c r="G77" s="2">
        <f t="shared" ref="G77:G138" si="3">_xlfn.STDEV.P(C77:E77)</f>
        <v>2.7980336660525182</v>
      </c>
    </row>
    <row r="78" spans="1:7" ht="15.75" thickBot="1" x14ac:dyDescent="0.3">
      <c r="A78" s="167"/>
      <c r="B78" s="33">
        <v>0.2</v>
      </c>
      <c r="C78" s="81">
        <v>54.506440400000002</v>
      </c>
      <c r="D78" s="82">
        <v>57.170997700000001</v>
      </c>
      <c r="E78" s="115">
        <v>50.009312600000001</v>
      </c>
      <c r="F78" s="1">
        <f t="shared" si="2"/>
        <v>53.895583566666666</v>
      </c>
      <c r="G78" s="2">
        <f t="shared" si="3"/>
        <v>2.9554799859484784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1.9346112000000002E-2</v>
      </c>
      <c r="D80">
        <f>D25</f>
        <v>1.9463615999999996E-2</v>
      </c>
      <c r="E80">
        <f>E25</f>
        <v>1.9529088E-2</v>
      </c>
      <c r="F80" s="1">
        <f t="shared" si="2"/>
        <v>1.9446272000000001E-2</v>
      </c>
      <c r="G80" s="2">
        <f t="shared" si="3"/>
        <v>7.5699691307163283E-5</v>
      </c>
    </row>
    <row r="81" spans="1:7" ht="15.75" thickTop="1" x14ac:dyDescent="0.25">
      <c r="A81" s="161" t="s">
        <v>90</v>
      </c>
      <c r="B81" s="38" t="s">
        <v>73</v>
      </c>
      <c r="C81">
        <f>C33/C80</f>
        <v>180.78145779368998</v>
      </c>
      <c r="D81">
        <f>D33/D80</f>
        <v>183.04370472578174</v>
      </c>
      <c r="E81">
        <f>E33/E80</f>
        <v>171.09356156314109</v>
      </c>
      <c r="F81" s="1">
        <f t="shared" si="2"/>
        <v>178.30624136087093</v>
      </c>
      <c r="G81" s="2">
        <f t="shared" si="3"/>
        <v>5.1830816247913623</v>
      </c>
    </row>
    <row r="82" spans="1:7" x14ac:dyDescent="0.25">
      <c r="A82" s="162"/>
      <c r="B82" s="38" t="s">
        <v>74</v>
      </c>
      <c r="C82">
        <f>C34/C80</f>
        <v>167.99792123606022</v>
      </c>
      <c r="D82">
        <f>D34/D80</f>
        <v>168.06507485556645</v>
      </c>
      <c r="E82">
        <f>E34/E80</f>
        <v>162.13882747622418</v>
      </c>
      <c r="F82" s="1">
        <f t="shared" si="2"/>
        <v>166.06727452261694</v>
      </c>
      <c r="G82" s="2">
        <f t="shared" si="3"/>
        <v>2.7779668283821368</v>
      </c>
    </row>
    <row r="83" spans="1:7" x14ac:dyDescent="0.25">
      <c r="A83" s="162"/>
      <c r="B83" s="38" t="s">
        <v>75</v>
      </c>
      <c r="C83">
        <f>C35/C80</f>
        <v>160.3818679432849</v>
      </c>
      <c r="D83">
        <f>D35/D80</f>
        <v>159.94970359053534</v>
      </c>
      <c r="E83">
        <f>E35/E80</f>
        <v>157.55181450357537</v>
      </c>
      <c r="F83" s="1">
        <f t="shared" si="2"/>
        <v>159.2944620124652</v>
      </c>
      <c r="G83" s="2">
        <f t="shared" si="3"/>
        <v>1.2448043386082313</v>
      </c>
    </row>
    <row r="84" spans="1:7" x14ac:dyDescent="0.25">
      <c r="A84" s="162"/>
      <c r="B84" s="38" t="s">
        <v>76</v>
      </c>
      <c r="C84">
        <f>C36/C80</f>
        <v>161.10307900626233</v>
      </c>
      <c r="D84">
        <f>D36/D80</f>
        <v>160.83186392497677</v>
      </c>
      <c r="E84">
        <f>E36/E80</f>
        <v>159.60625350246769</v>
      </c>
      <c r="F84" s="1">
        <f t="shared" si="2"/>
        <v>160.51373214456893</v>
      </c>
      <c r="G84" s="2">
        <f t="shared" si="3"/>
        <v>0.6511669112609122</v>
      </c>
    </row>
    <row r="85" spans="1:7" x14ac:dyDescent="0.25">
      <c r="A85" s="162"/>
      <c r="B85" s="38" t="s">
        <v>77</v>
      </c>
      <c r="C85">
        <f>C37/C80</f>
        <v>161.7142379822881</v>
      </c>
      <c r="D85">
        <f>D37/D80</f>
        <v>161.34755278772457</v>
      </c>
      <c r="E85">
        <f>E37/E80</f>
        <v>160.64767643015384</v>
      </c>
      <c r="F85" s="1">
        <f t="shared" si="2"/>
        <v>161.23648906672216</v>
      </c>
      <c r="G85" s="2">
        <f t="shared" si="3"/>
        <v>0.44244754771229455</v>
      </c>
    </row>
    <row r="86" spans="1:7" x14ac:dyDescent="0.25">
      <c r="A86" s="162"/>
      <c r="B86" s="38" t="s">
        <v>78</v>
      </c>
      <c r="C86">
        <f>C38/C80</f>
        <v>162.10495524888927</v>
      </c>
      <c r="D86">
        <f>D38/D80</f>
        <v>161.51030466281293</v>
      </c>
      <c r="E86">
        <f>E38/E80</f>
        <v>161.34225981264461</v>
      </c>
      <c r="F86" s="1">
        <f t="shared" si="2"/>
        <v>161.65250657478228</v>
      </c>
      <c r="G86" s="2">
        <f t="shared" si="3"/>
        <v>0.32720240417098478</v>
      </c>
    </row>
    <row r="87" spans="1:7" x14ac:dyDescent="0.25">
      <c r="A87" s="162"/>
      <c r="B87" s="38" t="s">
        <v>79</v>
      </c>
      <c r="C87">
        <f>C39/C80</f>
        <v>163.40480092330694</v>
      </c>
      <c r="D87">
        <f>D39/D80</f>
        <v>162.90850117470467</v>
      </c>
      <c r="E87">
        <f>E39/E80</f>
        <v>162.70249639921741</v>
      </c>
      <c r="F87" s="1">
        <f t="shared" si="2"/>
        <v>163.005266165743</v>
      </c>
      <c r="G87" s="2">
        <f t="shared" si="3"/>
        <v>0.29476601879812103</v>
      </c>
    </row>
    <row r="88" spans="1:7" x14ac:dyDescent="0.25">
      <c r="A88" s="162"/>
      <c r="B88" s="38" t="s">
        <v>80</v>
      </c>
      <c r="C88">
        <f>C40/C80</f>
        <v>163.0573729749936</v>
      </c>
      <c r="D88">
        <f>D40/D80</f>
        <v>162.58055183579458</v>
      </c>
      <c r="E88">
        <f>E40/E80</f>
        <v>162.38644989463921</v>
      </c>
      <c r="F88" s="1">
        <f t="shared" si="2"/>
        <v>162.6747915684758</v>
      </c>
      <c r="G88" s="2">
        <f t="shared" si="3"/>
        <v>0.28189275779975198</v>
      </c>
    </row>
    <row r="89" spans="1:7" x14ac:dyDescent="0.25">
      <c r="A89" s="162"/>
      <c r="B89" s="38" t="s">
        <v>80</v>
      </c>
      <c r="C89">
        <f>C41/C80</f>
        <v>156.47789230208113</v>
      </c>
      <c r="D89">
        <f>D41/D80</f>
        <v>156.00974043055518</v>
      </c>
      <c r="E89">
        <f>E41/E80</f>
        <v>155.79995235824634</v>
      </c>
      <c r="F89" s="1">
        <f t="shared" si="2"/>
        <v>156.0958616969609</v>
      </c>
      <c r="G89" s="2">
        <f t="shared" si="3"/>
        <v>0.28338818636535751</v>
      </c>
    </row>
    <row r="90" spans="1:7" x14ac:dyDescent="0.25">
      <c r="A90" s="162"/>
      <c r="B90" s="38" t="s">
        <v>80</v>
      </c>
      <c r="C90">
        <f>C42/C80</f>
        <v>150.6428640545449</v>
      </c>
      <c r="D90">
        <f>D42/D80</f>
        <v>150.25972768883236</v>
      </c>
      <c r="E90">
        <f>E42/E80</f>
        <v>150.0463052857358</v>
      </c>
      <c r="F90" s="1">
        <f t="shared" si="2"/>
        <v>150.31629900970435</v>
      </c>
      <c r="G90" s="2">
        <f t="shared" si="3"/>
        <v>0.24680738362761087</v>
      </c>
    </row>
    <row r="91" spans="1:7" x14ac:dyDescent="0.25">
      <c r="A91" s="162"/>
      <c r="B91" s="38" t="s">
        <v>80</v>
      </c>
      <c r="C91">
        <f>C43/C80</f>
        <v>133.28074653966647</v>
      </c>
      <c r="D91">
        <f>D43/D80</f>
        <v>132.83387835025107</v>
      </c>
      <c r="E91">
        <f>E43/E80</f>
        <v>132.71255114422138</v>
      </c>
      <c r="F91" s="1">
        <f t="shared" si="2"/>
        <v>132.94239201137964</v>
      </c>
      <c r="G91" s="2">
        <f t="shared" si="3"/>
        <v>0.24432616566097912</v>
      </c>
    </row>
    <row r="92" spans="1:7" ht="15.75" thickBot="1" x14ac:dyDescent="0.3">
      <c r="A92" s="163"/>
      <c r="B92" s="39" t="s">
        <v>80</v>
      </c>
      <c r="C92">
        <f>C44/C80</f>
        <v>127.21125361002768</v>
      </c>
      <c r="D92">
        <f>D44/D80</f>
        <v>127.61876724242816</v>
      </c>
      <c r="E92">
        <f>E44/E80</f>
        <v>126.31542445812113</v>
      </c>
      <c r="F92" s="1">
        <f t="shared" si="2"/>
        <v>127.04848177019232</v>
      </c>
      <c r="G92" s="2">
        <f t="shared" si="3"/>
        <v>0.54439361203320746</v>
      </c>
    </row>
    <row r="93" spans="1:7" ht="15.75" thickTop="1" x14ac:dyDescent="0.25">
      <c r="A93" s="161" t="s">
        <v>91</v>
      </c>
      <c r="B93" s="40" t="s">
        <v>73</v>
      </c>
      <c r="C93">
        <f>C45/C80</f>
        <v>165.3228602212165</v>
      </c>
      <c r="D93">
        <f>D45/D80</f>
        <v>166.44546676218852</v>
      </c>
      <c r="E93">
        <f>E45/E80</f>
        <v>153.29598443101901</v>
      </c>
      <c r="F93" s="1">
        <f t="shared" si="2"/>
        <v>161.68810380480801</v>
      </c>
      <c r="G93" s="2">
        <f t="shared" si="3"/>
        <v>5.9517959222071122</v>
      </c>
    </row>
    <row r="94" spans="1:7" x14ac:dyDescent="0.25">
      <c r="A94" s="162"/>
      <c r="B94" s="38" t="s">
        <v>74</v>
      </c>
      <c r="C94">
        <f>C46/C80</f>
        <v>159.69111312908763</v>
      </c>
      <c r="D94">
        <f>D46/D80</f>
        <v>159.30136363150612</v>
      </c>
      <c r="E94">
        <f>E46/E80</f>
        <v>153.71813061623769</v>
      </c>
      <c r="F94" s="1">
        <f t="shared" si="2"/>
        <v>157.57020245894378</v>
      </c>
      <c r="G94" s="2">
        <f t="shared" si="3"/>
        <v>2.7284695684263824</v>
      </c>
    </row>
    <row r="95" spans="1:7" x14ac:dyDescent="0.25">
      <c r="A95" s="162"/>
      <c r="B95" s="38" t="s">
        <v>75</v>
      </c>
      <c r="C95">
        <f>C47/C80</f>
        <v>160.55620478161191</v>
      </c>
      <c r="D95">
        <f>D47/D80</f>
        <v>160.16768158599103</v>
      </c>
      <c r="E95">
        <f>E47/E80</f>
        <v>157.82240676062293</v>
      </c>
      <c r="F95" s="1">
        <f t="shared" si="2"/>
        <v>159.51543104274197</v>
      </c>
      <c r="G95" s="2">
        <f t="shared" si="3"/>
        <v>1.2076108598571422</v>
      </c>
    </row>
    <row r="96" spans="1:7" x14ac:dyDescent="0.25">
      <c r="A96" s="162"/>
      <c r="B96" s="38" t="s">
        <v>76</v>
      </c>
      <c r="C96">
        <f>C48/C80</f>
        <v>161.24105453333465</v>
      </c>
      <c r="D96">
        <f>D48/D80</f>
        <v>160.73710660958378</v>
      </c>
      <c r="E96">
        <f>E48/E80</f>
        <v>159.7427222407928</v>
      </c>
      <c r="F96" s="1">
        <f t="shared" si="2"/>
        <v>160.5736277945704</v>
      </c>
      <c r="G96" s="2">
        <f t="shared" si="3"/>
        <v>0.62251849072246168</v>
      </c>
    </row>
    <row r="97" spans="1:7" x14ac:dyDescent="0.25">
      <c r="A97" s="162"/>
      <c r="B97" s="38" t="s">
        <v>77</v>
      </c>
      <c r="C97">
        <f>C49/C80</f>
        <v>161.65274242183648</v>
      </c>
      <c r="D97">
        <f>D49/D80</f>
        <v>160.90067282461803</v>
      </c>
      <c r="E97">
        <f>E49/E80</f>
        <v>160.67601723132182</v>
      </c>
      <c r="F97" s="1">
        <f t="shared" si="2"/>
        <v>161.07647749259209</v>
      </c>
      <c r="G97" s="2">
        <f t="shared" si="3"/>
        <v>0.41767490181366412</v>
      </c>
    </row>
    <row r="98" spans="1:7" x14ac:dyDescent="0.25">
      <c r="A98" s="162"/>
      <c r="B98" s="38" t="s">
        <v>78</v>
      </c>
      <c r="C98">
        <f>C50/C80</f>
        <v>162.21061368816635</v>
      </c>
      <c r="D98">
        <f>D50/D80</f>
        <v>161.59806738891686</v>
      </c>
      <c r="E98">
        <f>E50/E80</f>
        <v>161.2935647583748</v>
      </c>
      <c r="F98" s="1">
        <f t="shared" si="2"/>
        <v>161.70074861181934</v>
      </c>
      <c r="G98" s="2">
        <f t="shared" si="3"/>
        <v>0.38135920080725016</v>
      </c>
    </row>
    <row r="99" spans="1:7" x14ac:dyDescent="0.25">
      <c r="A99" s="162"/>
      <c r="B99" s="38" t="s">
        <v>79</v>
      </c>
      <c r="C99">
        <f>C51/C80</f>
        <v>163.24631274749157</v>
      </c>
      <c r="D99">
        <f>D51/D80</f>
        <v>162.54967370914019</v>
      </c>
      <c r="E99">
        <f>E51/E80</f>
        <v>162.4787440150815</v>
      </c>
      <c r="F99" s="1">
        <f t="shared" si="2"/>
        <v>162.75824349057109</v>
      </c>
      <c r="G99" s="2">
        <f t="shared" si="3"/>
        <v>0.34632976100627838</v>
      </c>
    </row>
    <row r="100" spans="1:7" x14ac:dyDescent="0.25">
      <c r="A100" s="162"/>
      <c r="B100" s="38" t="s">
        <v>82</v>
      </c>
      <c r="C100">
        <f>C52/C80</f>
        <v>156.00839538197647</v>
      </c>
      <c r="D100">
        <f>D52/D80</f>
        <v>155.15194401698022</v>
      </c>
      <c r="E100">
        <f>E52/E80</f>
        <v>155.10204982434408</v>
      </c>
      <c r="F100" s="1">
        <f t="shared" si="2"/>
        <v>155.42079640776691</v>
      </c>
      <c r="G100" s="2">
        <f t="shared" si="3"/>
        <v>0.41599420948196403</v>
      </c>
    </row>
    <row r="101" spans="1:7" x14ac:dyDescent="0.25">
      <c r="A101" s="162"/>
      <c r="B101" s="38" t="s">
        <v>83</v>
      </c>
      <c r="C101">
        <f>C53/C80</f>
        <v>150.2764674369713</v>
      </c>
      <c r="D101">
        <f>D53/D80</f>
        <v>149.68338411526412</v>
      </c>
      <c r="E101">
        <f>E53/E80</f>
        <v>149.55195142753209</v>
      </c>
      <c r="F101" s="1">
        <f t="shared" si="2"/>
        <v>149.8372676599225</v>
      </c>
      <c r="G101" s="2">
        <f t="shared" si="3"/>
        <v>0.31516236130065017</v>
      </c>
    </row>
    <row r="102" spans="1:7" x14ac:dyDescent="0.25">
      <c r="A102" s="162"/>
      <c r="B102" s="38" t="s">
        <v>84</v>
      </c>
      <c r="C102">
        <f>C54/C80</f>
        <v>142.75351088632175</v>
      </c>
      <c r="D102">
        <f>D54/D80</f>
        <v>142.62223627921966</v>
      </c>
      <c r="E102">
        <f>E54/E80</f>
        <v>142.16954575656578</v>
      </c>
      <c r="F102" s="1">
        <f t="shared" si="2"/>
        <v>142.51509764070238</v>
      </c>
      <c r="G102" s="2">
        <f t="shared" si="3"/>
        <v>0.25015040021318613</v>
      </c>
    </row>
    <row r="103" spans="1:7" x14ac:dyDescent="0.25">
      <c r="A103" s="162"/>
      <c r="B103" s="38" t="s">
        <v>85</v>
      </c>
      <c r="C103">
        <f>C55/C80</f>
        <v>126.89152631805294</v>
      </c>
      <c r="D103">
        <f>D55/D80</f>
        <v>126.96321587931043</v>
      </c>
      <c r="E103">
        <f>E55/E80</f>
        <v>125.78460960388935</v>
      </c>
      <c r="F103" s="1">
        <f t="shared" si="2"/>
        <v>126.54645060041757</v>
      </c>
      <c r="G103" s="2">
        <f t="shared" si="3"/>
        <v>0.53949737490350369</v>
      </c>
    </row>
    <row r="104" spans="1:7" ht="15.75" thickBot="1" x14ac:dyDescent="0.3">
      <c r="A104" s="163"/>
      <c r="B104" s="39" t="s">
        <v>86</v>
      </c>
      <c r="C104">
        <f>C56/C80</f>
        <v>85.186684022091868</v>
      </c>
      <c r="D104">
        <f>D56/D80</f>
        <v>89.115840550902789</v>
      </c>
      <c r="E104">
        <f>E56/E80</f>
        <v>85.294582112590206</v>
      </c>
      <c r="F104" s="1">
        <f t="shared" si="2"/>
        <v>86.532368895194963</v>
      </c>
      <c r="G104" s="2">
        <f t="shared" si="3"/>
        <v>1.8273213266723931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0.77730102556330327</v>
      </c>
      <c r="D106">
        <f>D55/D51</f>
        <v>0.7810733358129851</v>
      </c>
      <c r="E106">
        <f>E55/E51</f>
        <v>0.77416040089658644</v>
      </c>
      <c r="F106" s="1">
        <f t="shared" si="2"/>
        <v>0.77751158742429161</v>
      </c>
      <c r="G106" s="2">
        <f t="shared" si="3"/>
        <v>2.8261186000789248E-3</v>
      </c>
    </row>
    <row r="107" spans="1:7" ht="15.75" thickBot="1" x14ac:dyDescent="0.3">
      <c r="A107" s="36"/>
      <c r="B107" s="39" t="s">
        <v>94</v>
      </c>
      <c r="C107">
        <f>(1-C45/C33)*100</f>
        <v>8.5509862356099688</v>
      </c>
      <c r="D107">
        <f>(1-D45/D33)*100</f>
        <v>9.0679097587426316</v>
      </c>
      <c r="E107">
        <f>(1-E45/E33)*100</f>
        <v>10.402248319294005</v>
      </c>
      <c r="F107" s="1">
        <f t="shared" si="2"/>
        <v>9.3403814378822005</v>
      </c>
      <c r="G107" s="2">
        <f t="shared" si="3"/>
        <v>0.77994591161669335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7.0498024000000001E-3</v>
      </c>
      <c r="D110">
        <f>D16*D21/10^4</f>
        <v>7.0498024000000001E-3</v>
      </c>
      <c r="E110">
        <f>E16*E21/10^4</f>
        <v>7.0498024000000001E-3</v>
      </c>
      <c r="F110" s="1">
        <f t="shared" si="2"/>
        <v>7.0498024000000001E-3</v>
      </c>
      <c r="G110" s="2">
        <f t="shared" si="3"/>
        <v>0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496.10161130189971</v>
      </c>
      <c r="D111">
        <f>D33/D110</f>
        <v>505.36060131274036</v>
      </c>
      <c r="E111">
        <f>E33/E110</f>
        <v>473.95671969472505</v>
      </c>
      <c r="F111" s="1">
        <f t="shared" si="2"/>
        <v>491.80631076978835</v>
      </c>
      <c r="G111" s="2">
        <f t="shared" si="3"/>
        <v>13.175435480859747</v>
      </c>
    </row>
    <row r="112" spans="1:7" x14ac:dyDescent="0.25">
      <c r="A112" s="162"/>
      <c r="B112" s="38" t="s">
        <v>74</v>
      </c>
      <c r="C112">
        <f>C34/C110</f>
        <v>461.02095003400382</v>
      </c>
      <c r="D112">
        <f>D34/D110</f>
        <v>464.00649186989978</v>
      </c>
      <c r="E112">
        <f>E34/E110</f>
        <v>449.15066413776361</v>
      </c>
      <c r="F112" s="1">
        <f t="shared" si="2"/>
        <v>458.05936868055574</v>
      </c>
      <c r="G112" s="2">
        <f t="shared" si="3"/>
        <v>6.4162360454576488</v>
      </c>
    </row>
    <row r="113" spans="1:7" x14ac:dyDescent="0.25">
      <c r="A113" s="162"/>
      <c r="B113" s="38" t="s">
        <v>75</v>
      </c>
      <c r="C113">
        <f>C35/C110</f>
        <v>440.12092877950732</v>
      </c>
      <c r="D113">
        <f>D35/D110</f>
        <v>441.60097451809429</v>
      </c>
      <c r="E113">
        <f>E35/E110</f>
        <v>436.44389947723926</v>
      </c>
      <c r="F113" s="1">
        <f t="shared" si="2"/>
        <v>439.38860092494696</v>
      </c>
      <c r="G113" s="2">
        <f t="shared" si="3"/>
        <v>2.1681149737619587</v>
      </c>
    </row>
    <row r="114" spans="1:7" x14ac:dyDescent="0.25">
      <c r="A114" s="162"/>
      <c r="B114" s="38" t="s">
        <v>76</v>
      </c>
      <c r="C114">
        <f>C36/C110</f>
        <v>442.10008070580818</v>
      </c>
      <c r="D114">
        <f>D36/D110</f>
        <v>444.03650803035276</v>
      </c>
      <c r="E114">
        <f>E36/E110</f>
        <v>442.13502636612907</v>
      </c>
      <c r="F114" s="1">
        <f t="shared" si="2"/>
        <v>442.75720503409667</v>
      </c>
      <c r="G114" s="2">
        <f t="shared" si="3"/>
        <v>0.90471631537780095</v>
      </c>
    </row>
    <row r="115" spans="1:7" x14ac:dyDescent="0.25">
      <c r="A115" s="162"/>
      <c r="B115" s="38" t="s">
        <v>77</v>
      </c>
      <c r="C115">
        <f>C37/C110</f>
        <v>443.7772270042633</v>
      </c>
      <c r="D115">
        <f>D37/D110</f>
        <v>445.46025999253538</v>
      </c>
      <c r="E115">
        <f>E37/E110</f>
        <v>445.01993559422317</v>
      </c>
      <c r="F115" s="1">
        <f t="shared" si="2"/>
        <v>444.7524741970073</v>
      </c>
      <c r="G115" s="2">
        <f t="shared" si="3"/>
        <v>0.71264844495890833</v>
      </c>
    </row>
    <row r="116" spans="1:7" x14ac:dyDescent="0.25">
      <c r="A116" s="162"/>
      <c r="B116" s="38" t="s">
        <v>78</v>
      </c>
      <c r="C116">
        <f>C38/C110</f>
        <v>444.8494357799305</v>
      </c>
      <c r="D116">
        <f>D38/D110</f>
        <v>445.90959740942526</v>
      </c>
      <c r="E116">
        <f>E38/E110</f>
        <v>446.94404342453629</v>
      </c>
      <c r="F116" s="1">
        <f t="shared" si="2"/>
        <v>445.90102553796396</v>
      </c>
      <c r="G116" s="2">
        <f t="shared" si="3"/>
        <v>0.85514147131552132</v>
      </c>
    </row>
    <row r="117" spans="1:7" x14ac:dyDescent="0.25">
      <c r="A117" s="162"/>
      <c r="B117" s="38" t="s">
        <v>79</v>
      </c>
      <c r="C117">
        <f>C39/C110</f>
        <v>448.41648043922476</v>
      </c>
      <c r="D117">
        <f>D39/D110</f>
        <v>449.76984177599076</v>
      </c>
      <c r="E117">
        <f>E39/E110</f>
        <v>450.71211783184162</v>
      </c>
      <c r="F117" s="1">
        <f t="shared" si="2"/>
        <v>449.63281334901905</v>
      </c>
      <c r="G117" s="2">
        <f t="shared" si="3"/>
        <v>0.94218552735787275</v>
      </c>
    </row>
    <row r="118" spans="1:7" x14ac:dyDescent="0.25">
      <c r="A118" s="162"/>
      <c r="B118" s="38" t="s">
        <v>80</v>
      </c>
      <c r="C118">
        <f>C40/C110</f>
        <v>447.46306648254421</v>
      </c>
      <c r="D118">
        <f>D40/D110</f>
        <v>448.8644149799149</v>
      </c>
      <c r="E118">
        <f>E40/E110</f>
        <v>449.83661811570778</v>
      </c>
      <c r="F118" s="1">
        <f t="shared" si="2"/>
        <v>448.72136652605559</v>
      </c>
      <c r="G118" s="2">
        <f t="shared" si="3"/>
        <v>0.97426347700438498</v>
      </c>
    </row>
    <row r="119" spans="1:7" x14ac:dyDescent="0.25">
      <c r="A119" s="162"/>
      <c r="B119" s="38" t="s">
        <v>80</v>
      </c>
      <c r="C119">
        <f>C41/C110</f>
        <v>429.40761431838143</v>
      </c>
      <c r="D119">
        <f>D41/D110</f>
        <v>430.72323275330382</v>
      </c>
      <c r="E119">
        <f>E41/E110</f>
        <v>431.59095920192033</v>
      </c>
      <c r="F119" s="1">
        <f t="shared" si="2"/>
        <v>430.57393542453519</v>
      </c>
      <c r="G119" s="2">
        <f t="shared" si="3"/>
        <v>0.89757673373067903</v>
      </c>
    </row>
    <row r="120" spans="1:7" x14ac:dyDescent="0.25">
      <c r="A120" s="162"/>
      <c r="B120" s="38" t="s">
        <v>80</v>
      </c>
      <c r="C120">
        <f>C42/C110</f>
        <v>413.39509317310791</v>
      </c>
      <c r="D120">
        <f>D42/D110</f>
        <v>414.84817219841511</v>
      </c>
      <c r="E120">
        <f>E42/E110</f>
        <v>415.65243020144788</v>
      </c>
      <c r="F120" s="1">
        <f t="shared" si="2"/>
        <v>414.63189852432362</v>
      </c>
      <c r="G120" s="2">
        <f t="shared" si="3"/>
        <v>0.93415678250761092</v>
      </c>
    </row>
    <row r="121" spans="1:7" x14ac:dyDescent="0.25">
      <c r="A121" s="162"/>
      <c r="B121" s="38" t="s">
        <v>80</v>
      </c>
      <c r="C121">
        <f>C43/C110</f>
        <v>365.74986130107703</v>
      </c>
      <c r="D121">
        <f>D43/D110</f>
        <v>366.73759820558945</v>
      </c>
      <c r="E121">
        <f>E43/E110</f>
        <v>367.63513967426945</v>
      </c>
      <c r="F121" s="1">
        <f t="shared" si="2"/>
        <v>366.70753306031202</v>
      </c>
      <c r="G121" s="2">
        <f t="shared" si="3"/>
        <v>0.76995522416444517</v>
      </c>
    </row>
    <row r="122" spans="1:7" ht="15.75" thickBot="1" x14ac:dyDescent="0.3">
      <c r="A122" s="163"/>
      <c r="B122" s="39" t="s">
        <v>80</v>
      </c>
      <c r="C122">
        <f>C44/C110</f>
        <v>349.09392070336611</v>
      </c>
      <c r="D122">
        <f>D44/D110</f>
        <v>352.33933365281274</v>
      </c>
      <c r="E122">
        <f>E44/E110</f>
        <v>349.91406851346636</v>
      </c>
      <c r="F122" s="1">
        <f t="shared" si="2"/>
        <v>350.44910762321507</v>
      </c>
      <c r="G122" s="2">
        <f t="shared" si="3"/>
        <v>1.3778912486911512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453.68003080483498</v>
      </c>
      <c r="D123">
        <f>D45/D110</f>
        <v>459.5349580294619</v>
      </c>
      <c r="E123">
        <f>E45/E110</f>
        <v>424.65456478609951</v>
      </c>
      <c r="F123" s="1">
        <f t="shared" si="2"/>
        <v>445.95651787346543</v>
      </c>
      <c r="G123" s="2">
        <f t="shared" si="3"/>
        <v>15.251228304712035</v>
      </c>
    </row>
    <row r="124" spans="1:7" x14ac:dyDescent="0.25">
      <c r="A124" s="162"/>
      <c r="B124" s="38" t="s">
        <v>74</v>
      </c>
      <c r="C124">
        <f>C46/C110</f>
        <v>438.22535508229282</v>
      </c>
      <c r="D124">
        <f>D46/D110</f>
        <v>439.81098959596369</v>
      </c>
      <c r="E124">
        <f>E46/E110</f>
        <v>425.82397770468003</v>
      </c>
      <c r="F124" s="1">
        <f t="shared" si="2"/>
        <v>434.62010746097877</v>
      </c>
      <c r="G124" s="2">
        <f t="shared" si="3"/>
        <v>6.2533981812542079</v>
      </c>
    </row>
    <row r="125" spans="1:7" x14ac:dyDescent="0.25">
      <c r="A125" s="162"/>
      <c r="B125" s="38" t="s">
        <v>75</v>
      </c>
      <c r="C125">
        <f>C47/C110</f>
        <v>440.59934502561373</v>
      </c>
      <c r="D125">
        <f>D47/D110</f>
        <v>442.20278429364203</v>
      </c>
      <c r="E125">
        <f>E47/E110</f>
        <v>437.19348360742708</v>
      </c>
      <c r="F125" s="1">
        <f t="shared" si="2"/>
        <v>439.99853764222763</v>
      </c>
      <c r="G125" s="2">
        <f t="shared" si="3"/>
        <v>2.0886998308639795</v>
      </c>
    </row>
    <row r="126" spans="1:7" x14ac:dyDescent="0.25">
      <c r="A126" s="162"/>
      <c r="B126" s="38" t="s">
        <v>76</v>
      </c>
      <c r="C126">
        <f>C48/C110</f>
        <v>442.47871401331764</v>
      </c>
      <c r="D126">
        <f>D48/D110</f>
        <v>443.77489502400806</v>
      </c>
      <c r="E126">
        <f>E48/E110</f>
        <v>442.51306674921841</v>
      </c>
      <c r="F126" s="1">
        <f t="shared" si="2"/>
        <v>442.92222526218137</v>
      </c>
      <c r="G126" s="2">
        <f t="shared" si="3"/>
        <v>0.60309165675219134</v>
      </c>
    </row>
    <row r="127" spans="1:7" x14ac:dyDescent="0.25">
      <c r="A127" s="162"/>
      <c r="B127" s="38" t="s">
        <v>77</v>
      </c>
      <c r="C127">
        <f>C49/C110</f>
        <v>443.60847050124414</v>
      </c>
      <c r="D127">
        <f>D49/D110</f>
        <v>444.22648073086418</v>
      </c>
      <c r="E127">
        <f>E49/E110</f>
        <v>445.09844417766942</v>
      </c>
      <c r="F127" s="1">
        <f t="shared" si="2"/>
        <v>444.31113180325929</v>
      </c>
      <c r="G127" s="2">
        <f t="shared" si="3"/>
        <v>0.61121722388105293</v>
      </c>
    </row>
    <row r="128" spans="1:7" x14ac:dyDescent="0.25">
      <c r="A128" s="162"/>
      <c r="B128" s="38" t="s">
        <v>78</v>
      </c>
      <c r="C128">
        <f>C50/C110</f>
        <v>445.13938433224735</v>
      </c>
      <c r="D128">
        <f>D50/D110</f>
        <v>446.15189923621119</v>
      </c>
      <c r="E128">
        <f>E50/E110</f>
        <v>446.80915028199939</v>
      </c>
      <c r="F128" s="1">
        <f t="shared" si="2"/>
        <v>446.03347795015264</v>
      </c>
      <c r="G128" s="2">
        <f t="shared" si="3"/>
        <v>0.68680287442693966</v>
      </c>
    </row>
    <row r="129" spans="1:7" x14ac:dyDescent="0.25">
      <c r="A129" s="162"/>
      <c r="B129" s="38" t="s">
        <v>79</v>
      </c>
      <c r="C129">
        <f>C51/C110</f>
        <v>447.98155619226998</v>
      </c>
      <c r="D129">
        <f>D51/D110</f>
        <v>448.77916436352882</v>
      </c>
      <c r="E129">
        <f>E51/E110</f>
        <v>450.09228769305645</v>
      </c>
      <c r="F129" s="1">
        <f t="shared" si="2"/>
        <v>448.95100274961845</v>
      </c>
      <c r="G129" s="2">
        <f t="shared" si="3"/>
        <v>0.87022724629967951</v>
      </c>
    </row>
    <row r="130" spans="1:7" x14ac:dyDescent="0.25">
      <c r="A130" s="162"/>
      <c r="B130" s="38" t="s">
        <v>82</v>
      </c>
      <c r="C130">
        <f>C52/C110</f>
        <v>428.11921792304418</v>
      </c>
      <c r="D130">
        <f>D52/D110</f>
        <v>428.35496495618088</v>
      </c>
      <c r="E130">
        <f>E52/E110</f>
        <v>429.65765678765689</v>
      </c>
      <c r="F130" s="1">
        <f t="shared" si="2"/>
        <v>428.71061322229394</v>
      </c>
      <c r="G130" s="2">
        <f t="shared" si="3"/>
        <v>0.67654159858782614</v>
      </c>
    </row>
    <row r="131" spans="1:7" x14ac:dyDescent="0.25">
      <c r="A131" s="162"/>
      <c r="B131" s="38" t="s">
        <v>83</v>
      </c>
      <c r="C131">
        <f>C53/C110</f>
        <v>412.38962527517083</v>
      </c>
      <c r="D131">
        <f>D53/D110</f>
        <v>413.25696022345255</v>
      </c>
      <c r="E131">
        <f>E53/E110</f>
        <v>414.28299039984438</v>
      </c>
      <c r="F131" s="1">
        <f t="shared" si="2"/>
        <v>413.30985863282257</v>
      </c>
      <c r="G131" s="2">
        <f t="shared" si="3"/>
        <v>0.77386758346973572</v>
      </c>
    </row>
    <row r="132" spans="1:7" x14ac:dyDescent="0.25">
      <c r="A132" s="162"/>
      <c r="B132" s="38" t="s">
        <v>84</v>
      </c>
      <c r="C132">
        <f>C54/C110</f>
        <v>391.74508068481464</v>
      </c>
      <c r="D132">
        <f>D54/D110</f>
        <v>393.76202090430223</v>
      </c>
      <c r="E132">
        <f>E54/E110</f>
        <v>393.83253777439205</v>
      </c>
      <c r="F132" s="1">
        <f t="shared" si="2"/>
        <v>393.11321312116962</v>
      </c>
      <c r="G132" s="2">
        <f t="shared" si="3"/>
        <v>0.96784397151497581</v>
      </c>
    </row>
    <row r="133" spans="1:7" x14ac:dyDescent="0.25">
      <c r="A133" s="162"/>
      <c r="B133" s="38" t="s">
        <v>85</v>
      </c>
      <c r="C133">
        <f>C55/C110</f>
        <v>348.21652306169602</v>
      </c>
      <c r="D133">
        <f>D55/D110</f>
        <v>350.52943895278537</v>
      </c>
      <c r="E133">
        <f>E55/E110</f>
        <v>348.44362588091832</v>
      </c>
      <c r="F133" s="1">
        <f t="shared" si="2"/>
        <v>349.06319596513322</v>
      </c>
      <c r="G133" s="2">
        <f t="shared" si="3"/>
        <v>1.0409275660851613</v>
      </c>
    </row>
    <row r="134" spans="1:7" ht="15.75" thickBot="1" x14ac:dyDescent="0.3">
      <c r="A134" s="163"/>
      <c r="B134" s="39" t="s">
        <v>86</v>
      </c>
      <c r="C134">
        <f>C56/C110</f>
        <v>233.7698330381572</v>
      </c>
      <c r="D134">
        <f>D56/D110</f>
        <v>246.03760525259545</v>
      </c>
      <c r="E134">
        <f>E56/E110</f>
        <v>236.27972891835947</v>
      </c>
      <c r="F134" s="1">
        <f t="shared" si="2"/>
        <v>238.69572240303737</v>
      </c>
      <c r="G134" s="2">
        <f t="shared" si="3"/>
        <v>5.2916492177039585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DD032</v>
      </c>
      <c r="D137" s="68" t="str">
        <f>D1</f>
        <v>DD033</v>
      </c>
      <c r="E137" s="68" t="str">
        <f>E1</f>
        <v>DD034</v>
      </c>
    </row>
    <row r="138" spans="1:7" ht="14.45" customHeight="1" x14ac:dyDescent="0.25">
      <c r="A138" s="172"/>
      <c r="B138" s="69" t="s">
        <v>100</v>
      </c>
      <c r="C138" s="68">
        <f>C25</f>
        <v>1.9346112000000002E-2</v>
      </c>
      <c r="D138" s="68">
        <f>D25</f>
        <v>1.9463615999999996E-2</v>
      </c>
      <c r="E138" s="68">
        <f>E25</f>
        <v>1.9529088E-2</v>
      </c>
      <c r="F138" s="1">
        <f t="shared" si="2"/>
        <v>1.9446272000000001E-2</v>
      </c>
      <c r="G138" s="2">
        <f t="shared" si="3"/>
        <v>7.5699691307163283E-5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41</v>
      </c>
      <c r="D142" s="68">
        <f>D21</f>
        <v>41</v>
      </c>
      <c r="E142" s="68">
        <f>E21</f>
        <v>41</v>
      </c>
      <c r="F142" s="1">
        <f t="shared" ref="F142:F151" si="4">AVERAGE(C142:E142)</f>
        <v>41</v>
      </c>
      <c r="G142" s="2">
        <f t="shared" ref="G142:G151" si="5">_xlfn.STDEV.P(C142:E142)</f>
        <v>0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>D16</f>
        <v>1.7194640000000001</v>
      </c>
      <c r="E143" s="68">
        <f>E16</f>
        <v>1.7194640000000001</v>
      </c>
      <c r="F143" s="1">
        <f t="shared" si="4"/>
        <v>1.7194640000000001</v>
      </c>
      <c r="G143" s="2">
        <f t="shared" si="5"/>
        <v>0</v>
      </c>
    </row>
    <row r="144" spans="1:7" ht="14.45" customHeight="1" x14ac:dyDescent="0.25">
      <c r="A144" s="172"/>
      <c r="B144" s="69" t="s">
        <v>106</v>
      </c>
      <c r="C144" s="68">
        <f>C22</f>
        <v>117.20047642753789</v>
      </c>
      <c r="D144" s="68">
        <f>D22</f>
        <v>117.91232616675893</v>
      </c>
      <c r="E144" s="68">
        <f>E22</f>
        <v>118.30896139727265</v>
      </c>
      <c r="F144" s="1">
        <f t="shared" si="4"/>
        <v>117.8072546638565</v>
      </c>
      <c r="G144" s="2">
        <f t="shared" si="5"/>
        <v>0.45859549901381941</v>
      </c>
    </row>
    <row r="145" spans="1:7" ht="14.45" customHeight="1" x14ac:dyDescent="0.25">
      <c r="A145" s="172"/>
      <c r="B145" s="69" t="s">
        <v>107</v>
      </c>
      <c r="C145" s="68">
        <f>C24</f>
        <v>35.878236753034898</v>
      </c>
      <c r="D145" s="68">
        <f>D24</f>
        <v>35.48877536314059</v>
      </c>
      <c r="E145" s="68">
        <f>E24</f>
        <v>35.271771549490303</v>
      </c>
      <c r="F145" s="1">
        <f t="shared" si="4"/>
        <v>35.546261221888592</v>
      </c>
      <c r="G145" s="2">
        <f t="shared" si="5"/>
        <v>0.25090300748110278</v>
      </c>
    </row>
    <row r="146" spans="1:7" ht="14.45" customHeight="1" thickBot="1" x14ac:dyDescent="0.3">
      <c r="A146" s="173"/>
      <c r="B146" s="70" t="s">
        <v>108</v>
      </c>
      <c r="C146" s="68">
        <v>85</v>
      </c>
      <c r="D146" s="68">
        <v>85</v>
      </c>
      <c r="E146" s="68">
        <v>85</v>
      </c>
      <c r="F146" s="1">
        <f t="shared" si="4"/>
        <v>85</v>
      </c>
      <c r="G146" s="2">
        <f t="shared" si="5"/>
        <v>0</v>
      </c>
    </row>
    <row r="148" spans="1:7" x14ac:dyDescent="0.25">
      <c r="A148" s="168" t="s">
        <v>109</v>
      </c>
      <c r="B148" s="94" t="s">
        <v>110</v>
      </c>
      <c r="C148" s="97">
        <v>3.26</v>
      </c>
      <c r="D148" s="97">
        <v>3.27</v>
      </c>
      <c r="E148" s="97">
        <v>3.28</v>
      </c>
      <c r="F148" s="1">
        <f t="shared" si="4"/>
        <v>3.2699999999999996</v>
      </c>
      <c r="G148" s="2">
        <f t="shared" si="5"/>
        <v>8.1649658092772682E-3</v>
      </c>
    </row>
    <row r="149" spans="1:7" x14ac:dyDescent="0.25">
      <c r="A149" s="169"/>
      <c r="B149" s="95" t="s">
        <v>111</v>
      </c>
      <c r="C149" s="97">
        <v>3.04</v>
      </c>
      <c r="D149" s="97">
        <v>3.04</v>
      </c>
      <c r="E149" s="97">
        <v>3.05</v>
      </c>
      <c r="F149" s="1">
        <f t="shared" si="4"/>
        <v>3.043333333333333</v>
      </c>
      <c r="G149" s="2">
        <f t="shared" si="5"/>
        <v>4.714045207910216E-3</v>
      </c>
    </row>
    <row r="150" spans="1:7" x14ac:dyDescent="0.25">
      <c r="A150" s="169"/>
      <c r="B150" s="95" t="s">
        <v>112</v>
      </c>
      <c r="C150" s="97">
        <v>2.98</v>
      </c>
      <c r="D150" s="97">
        <v>2.98</v>
      </c>
      <c r="E150" s="97">
        <v>3</v>
      </c>
      <c r="F150" s="1">
        <f t="shared" si="4"/>
        <v>2.9866666666666668</v>
      </c>
      <c r="G150" s="2">
        <f t="shared" si="5"/>
        <v>9.4280904158206419E-3</v>
      </c>
    </row>
    <row r="151" spans="1:7" ht="15.75" thickBot="1" x14ac:dyDescent="0.3">
      <c r="A151" s="170"/>
      <c r="B151" s="96" t="s">
        <v>113</v>
      </c>
      <c r="C151" s="97">
        <v>3.2</v>
      </c>
      <c r="D151" s="97">
        <v>3.2</v>
      </c>
      <c r="E151" s="97">
        <v>3.22</v>
      </c>
      <c r="F151" s="1">
        <f t="shared" si="4"/>
        <v>3.206666666666667</v>
      </c>
      <c r="G151" s="2">
        <f t="shared" si="5"/>
        <v>9.4280904158206419E-3</v>
      </c>
    </row>
  </sheetData>
  <sortState xmlns:xlrd2="http://schemas.microsoft.com/office/spreadsheetml/2017/richdata2" columnSort="1" ref="C1:G148">
    <sortCondition descending="1" ref="C24:G24"/>
  </sortState>
  <mergeCells count="11">
    <mergeCell ref="A81:A92"/>
    <mergeCell ref="A1:A30"/>
    <mergeCell ref="A33:A44"/>
    <mergeCell ref="A45:A56"/>
    <mergeCell ref="A57:A67"/>
    <mergeCell ref="A68:A78"/>
    <mergeCell ref="A148:A151"/>
    <mergeCell ref="A93:A104"/>
    <mergeCell ref="A111:A122"/>
    <mergeCell ref="A123:A134"/>
    <mergeCell ref="A137:A146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1"/>
  <sheetViews>
    <sheetView zoomScale="85" zoomScaleNormal="85" workbookViewId="0">
      <pane ySplit="1" topLeftCell="A147" activePane="bottomLeft" state="frozen"/>
      <selection pane="bottomLeft" activeCell="B169" sqref="B169"/>
    </sheetView>
  </sheetViews>
  <sheetFormatPr defaultRowHeight="15" x14ac:dyDescent="0.25"/>
  <cols>
    <col min="1" max="1" width="14.28515625" customWidth="1"/>
    <col min="2" max="2" width="43.140625" style="27" customWidth="1"/>
    <col min="3" max="3" width="16.7109375" bestFit="1" customWidth="1"/>
    <col min="4" max="5" width="15.2851562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t="s">
        <v>126</v>
      </c>
      <c r="D1" t="s">
        <v>127</v>
      </c>
      <c r="E1" t="s">
        <v>128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</v>
      </c>
      <c r="D5" s="8">
        <v>0.9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t="s">
        <v>129</v>
      </c>
      <c r="D8" t="s">
        <v>130</v>
      </c>
      <c r="E8" t="s">
        <v>131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2.55027E-2</v>
      </c>
      <c r="D12" s="8">
        <v>2.5560300000000001E-2</v>
      </c>
      <c r="E12" s="8">
        <v>2.56861E-2</v>
      </c>
      <c r="F12" s="1">
        <f t="shared" ref="F12:F25" si="0">AVERAGE(C12:E12)</f>
        <v>2.5583033333333335E-2</v>
      </c>
      <c r="G12" s="2">
        <f t="shared" ref="G12:G25" si="1">_xlfn.STDEV.P(C12:E12)</f>
        <v>7.6578906292065074E-5</v>
      </c>
    </row>
    <row r="13" spans="1:7" x14ac:dyDescent="0.25">
      <c r="A13" s="164"/>
      <c r="B13" s="21" t="s">
        <v>49</v>
      </c>
      <c r="C13" s="8">
        <v>51</v>
      </c>
      <c r="D13" s="8">
        <v>51</v>
      </c>
      <c r="E13" s="8">
        <v>51</v>
      </c>
      <c r="F13" s="1">
        <f t="shared" si="0"/>
        <v>51</v>
      </c>
      <c r="G13" s="2">
        <f t="shared" si="1"/>
        <v>0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1.9932699999999998E-2</v>
      </c>
      <c r="D18" s="11">
        <f>D12-D14</f>
        <v>1.9990300000000003E-2</v>
      </c>
      <c r="E18" s="11">
        <f>E12-E14</f>
        <v>2.0116099999999998E-2</v>
      </c>
      <c r="F18" s="1">
        <f t="shared" si="0"/>
        <v>2.0013033333333333E-2</v>
      </c>
      <c r="G18" s="2">
        <f t="shared" si="1"/>
        <v>7.6578906292064722E-5</v>
      </c>
    </row>
    <row r="19" spans="1:7" x14ac:dyDescent="0.25">
      <c r="A19" s="164"/>
      <c r="B19" s="23" t="s">
        <v>55</v>
      </c>
      <c r="C19" s="12">
        <f>C18*C10/100*C11</f>
        <v>3.1573396799999998</v>
      </c>
      <c r="D19" s="12">
        <f>D18*D10/100*D11</f>
        <v>3.1664635200000002</v>
      </c>
      <c r="E19" s="12">
        <f>E18*E10/100*E11</f>
        <v>3.1863902399999997</v>
      </c>
      <c r="F19" s="1">
        <f t="shared" si="0"/>
        <v>3.1700644800000002</v>
      </c>
      <c r="G19" s="2">
        <f t="shared" si="1"/>
        <v>1.2130098756663045E-2</v>
      </c>
    </row>
    <row r="20" spans="1:7" x14ac:dyDescent="0.25">
      <c r="A20" s="164"/>
      <c r="B20" s="23" t="s">
        <v>56</v>
      </c>
      <c r="C20" s="12">
        <f>C19/C16</f>
        <v>1.8362348266669146</v>
      </c>
      <c r="D20" s="12">
        <f t="shared" ref="D20:E20" si="2">D19/D16</f>
        <v>1.8415410383700968</v>
      </c>
      <c r="E20" s="12">
        <f t="shared" si="2"/>
        <v>1.8531299521246154</v>
      </c>
      <c r="F20" s="1">
        <f t="shared" si="0"/>
        <v>1.8436352723872089</v>
      </c>
      <c r="G20" s="2">
        <f t="shared" si="1"/>
        <v>7.0545814024969887E-3</v>
      </c>
    </row>
    <row r="21" spans="1:7" x14ac:dyDescent="0.25">
      <c r="A21" s="164"/>
      <c r="B21" s="22" t="s">
        <v>57</v>
      </c>
      <c r="C21" s="13">
        <f>C13-C15</f>
        <v>38</v>
      </c>
      <c r="D21" s="13">
        <f>D13-D15</f>
        <v>38</v>
      </c>
      <c r="E21" s="13">
        <f>E13-E15</f>
        <v>38</v>
      </c>
      <c r="F21" s="1">
        <f t="shared" si="0"/>
        <v>38</v>
      </c>
      <c r="G21" s="2">
        <f t="shared" si="1"/>
        <v>0</v>
      </c>
    </row>
    <row r="22" spans="1:7" x14ac:dyDescent="0.25">
      <c r="A22" s="164"/>
      <c r="B22" s="22" t="s">
        <v>58</v>
      </c>
      <c r="C22" s="13">
        <f>C18/(C16/10^4)</f>
        <v>115.92391582493148</v>
      </c>
      <c r="D22" s="13">
        <f t="shared" ref="D22:E22" si="3">D18/(D16/10^4)</f>
        <v>116.25890393750612</v>
      </c>
      <c r="E22" s="13">
        <f t="shared" si="3"/>
        <v>116.99052728059441</v>
      </c>
      <c r="F22" s="1">
        <f t="shared" si="0"/>
        <v>116.39111568101066</v>
      </c>
      <c r="G22" s="2">
        <f t="shared" si="1"/>
        <v>0.44536498753137255</v>
      </c>
    </row>
    <row r="23" spans="1:7" x14ac:dyDescent="0.25">
      <c r="A23" s="164"/>
      <c r="B23" s="22" t="s">
        <v>59</v>
      </c>
      <c r="C23" s="13">
        <f>C18/C16/(C21/10^4)</f>
        <v>3.0506293638139859</v>
      </c>
      <c r="D23" s="13">
        <f t="shared" ref="D23:E23" si="4">D18/D16/(D21/10^4)</f>
        <v>3.0594448404606873</v>
      </c>
      <c r="E23" s="13">
        <f t="shared" si="4"/>
        <v>3.0786980863314319</v>
      </c>
      <c r="F23" s="1">
        <f t="shared" si="0"/>
        <v>3.0629240968687017</v>
      </c>
      <c r="G23" s="2">
        <f t="shared" si="1"/>
        <v>1.1720131250825876E-2</v>
      </c>
    </row>
    <row r="24" spans="1:7" x14ac:dyDescent="0.25">
      <c r="A24" s="164"/>
      <c r="B24" s="22" t="s">
        <v>60</v>
      </c>
      <c r="C24" s="13">
        <f>(1-C23/C17)*100</f>
        <v>31.569552180036208</v>
      </c>
      <c r="D24" s="13">
        <f t="shared" ref="D24:E24" si="5">(1-D23/D17)*100</f>
        <v>31.371807078046498</v>
      </c>
      <c r="E24" s="13">
        <f t="shared" si="5"/>
        <v>30.939926282381524</v>
      </c>
      <c r="F24" s="1">
        <f t="shared" si="0"/>
        <v>31.293761846821411</v>
      </c>
      <c r="G24" s="2">
        <f t="shared" si="1"/>
        <v>0.26290110477401907</v>
      </c>
    </row>
    <row r="25" spans="1:7" x14ac:dyDescent="0.25">
      <c r="A25" s="164"/>
      <c r="B25" s="24" t="s">
        <v>61</v>
      </c>
      <c r="C25" s="14">
        <f>(C18*C10)/100</f>
        <v>1.9135391999999998E-2</v>
      </c>
      <c r="D25" s="14">
        <f>(D18*D10)/100</f>
        <v>1.9190688000000001E-2</v>
      </c>
      <c r="E25" s="14">
        <f>(E18*E10)/100</f>
        <v>1.9311455999999998E-2</v>
      </c>
      <c r="F25" s="1">
        <f t="shared" si="0"/>
        <v>1.9212511999999998E-2</v>
      </c>
      <c r="G25" s="2">
        <f t="shared" si="1"/>
        <v>7.3515750040382209E-5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65</v>
      </c>
      <c r="D28" t="s">
        <v>65</v>
      </c>
      <c r="E28" t="s">
        <v>65</v>
      </c>
    </row>
    <row r="29" spans="1:7" x14ac:dyDescent="0.25">
      <c r="A29" s="164"/>
      <c r="B29" s="18" t="s">
        <v>67</v>
      </c>
      <c r="C29" t="s">
        <v>69</v>
      </c>
      <c r="D29" t="s">
        <v>132</v>
      </c>
      <c r="E29" t="s">
        <v>133</v>
      </c>
    </row>
    <row r="30" spans="1:7" x14ac:dyDescent="0.25">
      <c r="A30" s="164"/>
      <c r="B30" s="25" t="s">
        <v>71</v>
      </c>
      <c r="C30">
        <v>1.903</v>
      </c>
      <c r="D30">
        <v>3.3159999999999998</v>
      </c>
      <c r="E30">
        <v>3.36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97">
        <v>4.88</v>
      </c>
      <c r="D33" s="75">
        <v>3.52269488</v>
      </c>
      <c r="E33" s="120">
        <v>3.5394480800000001</v>
      </c>
      <c r="F33" s="1">
        <f t="shared" ref="F33:F78" si="6">AVERAGE(C33:E33)</f>
        <v>3.9807143200000001</v>
      </c>
      <c r="G33" s="2">
        <f t="shared" ref="G33:G78" si="7">_xlfn.STDEV.P(C33:E33)</f>
        <v>0.63592778317319376</v>
      </c>
    </row>
    <row r="34" spans="1:7" x14ac:dyDescent="0.25">
      <c r="A34" s="166"/>
      <c r="B34" s="29" t="s">
        <v>74</v>
      </c>
      <c r="C34" s="97">
        <v>3.32</v>
      </c>
      <c r="D34" s="78">
        <v>3.2063355900000001</v>
      </c>
      <c r="E34" s="121">
        <v>3.2482718500000001</v>
      </c>
      <c r="F34" s="1">
        <f t="shared" si="6"/>
        <v>3.25820248</v>
      </c>
      <c r="G34" s="2">
        <f t="shared" si="7"/>
        <v>4.6931599761849747E-2</v>
      </c>
    </row>
    <row r="35" spans="1:7" x14ac:dyDescent="0.25">
      <c r="A35" s="166"/>
      <c r="B35" s="29" t="s">
        <v>75</v>
      </c>
      <c r="C35" s="97">
        <v>3.18</v>
      </c>
      <c r="D35" s="78">
        <v>3.0535251899999998</v>
      </c>
      <c r="E35" s="121">
        <v>3.09934333</v>
      </c>
      <c r="F35" s="1">
        <f t="shared" si="6"/>
        <v>3.1109561733333333</v>
      </c>
      <c r="G35" s="2">
        <f t="shared" si="7"/>
        <v>5.2282010856810383E-2</v>
      </c>
    </row>
    <row r="36" spans="1:7" x14ac:dyDescent="0.25">
      <c r="A36" s="166"/>
      <c r="B36" s="29" t="s">
        <v>76</v>
      </c>
      <c r="C36" s="97">
        <v>3.17</v>
      </c>
      <c r="D36" s="78">
        <v>3.0717686500000001</v>
      </c>
      <c r="E36" s="121">
        <v>3.1126517499999999</v>
      </c>
      <c r="F36" s="1">
        <f t="shared" si="6"/>
        <v>3.1181401333333336</v>
      </c>
      <c r="G36" s="2">
        <f t="shared" si="7"/>
        <v>4.0290125294881088E-2</v>
      </c>
    </row>
    <row r="37" spans="1:7" x14ac:dyDescent="0.25">
      <c r="A37" s="166"/>
      <c r="B37" s="29" t="s">
        <v>77</v>
      </c>
      <c r="C37" s="97">
        <v>3.17</v>
      </c>
      <c r="D37" s="78">
        <v>3.08207063</v>
      </c>
      <c r="E37" s="121">
        <v>3.122827</v>
      </c>
      <c r="F37" s="1">
        <f t="shared" si="6"/>
        <v>3.1249658766666664</v>
      </c>
      <c r="G37" s="2">
        <f t="shared" si="7"/>
        <v>3.5928861399489857E-2</v>
      </c>
    </row>
    <row r="38" spans="1:7" x14ac:dyDescent="0.25">
      <c r="A38" s="166"/>
      <c r="B38" s="29" t="s">
        <v>78</v>
      </c>
      <c r="C38" s="97">
        <v>3.17</v>
      </c>
      <c r="D38" s="78">
        <v>3.0919109699999998</v>
      </c>
      <c r="E38" s="121">
        <v>3.13174149</v>
      </c>
      <c r="F38" s="1">
        <f t="shared" si="6"/>
        <v>3.1312174866666669</v>
      </c>
      <c r="G38" s="2">
        <f t="shared" si="7"/>
        <v>3.1881866175045209E-2</v>
      </c>
    </row>
    <row r="39" spans="1:7" x14ac:dyDescent="0.25">
      <c r="A39" s="166"/>
      <c r="B39" s="29" t="s">
        <v>79</v>
      </c>
      <c r="C39" s="97">
        <v>3.17</v>
      </c>
      <c r="D39" s="78">
        <v>3.1122311200000001</v>
      </c>
      <c r="E39" s="121">
        <v>3.1524136</v>
      </c>
      <c r="F39" s="1">
        <f t="shared" si="6"/>
        <v>3.144881573333334</v>
      </c>
      <c r="G39" s="2">
        <f t="shared" si="7"/>
        <v>2.4177943714525262E-2</v>
      </c>
    </row>
    <row r="40" spans="1:7" x14ac:dyDescent="0.25">
      <c r="A40" s="166"/>
      <c r="B40" s="29" t="s">
        <v>80</v>
      </c>
      <c r="C40" s="97">
        <v>3.16</v>
      </c>
      <c r="D40" s="78">
        <v>3.1965100400000002</v>
      </c>
      <c r="E40" s="121">
        <v>3.1463191300000002</v>
      </c>
      <c r="F40" s="1">
        <f t="shared" si="6"/>
        <v>3.1676097233333333</v>
      </c>
      <c r="G40" s="2">
        <f t="shared" si="7"/>
        <v>2.1185101346062881E-2</v>
      </c>
    </row>
    <row r="41" spans="1:7" x14ac:dyDescent="0.25">
      <c r="A41" s="166"/>
      <c r="B41" s="29" t="s">
        <v>80</v>
      </c>
      <c r="C41" s="97">
        <v>3.04</v>
      </c>
      <c r="D41" s="78">
        <v>3.7180053700000002</v>
      </c>
      <c r="E41" s="121">
        <v>3.0190712500000001</v>
      </c>
      <c r="F41" s="1">
        <f t="shared" si="6"/>
        <v>3.2590255400000001</v>
      </c>
      <c r="G41" s="2">
        <f t="shared" si="7"/>
        <v>0.32466019816033537</v>
      </c>
    </row>
    <row r="42" spans="1:7" x14ac:dyDescent="0.25">
      <c r="A42" s="166"/>
      <c r="B42" s="29" t="s">
        <v>80</v>
      </c>
      <c r="C42" s="97">
        <v>2.94</v>
      </c>
      <c r="D42" s="78">
        <v>3.1992573200000001</v>
      </c>
      <c r="E42" s="121">
        <v>2.9088127799999999</v>
      </c>
      <c r="F42" s="1">
        <f t="shared" si="6"/>
        <v>3.0160233666666669</v>
      </c>
      <c r="G42" s="2">
        <f t="shared" si="7"/>
        <v>0.1301900454808374</v>
      </c>
    </row>
    <row r="43" spans="1:7" x14ac:dyDescent="0.25">
      <c r="A43" s="166"/>
      <c r="B43" s="29" t="s">
        <v>80</v>
      </c>
      <c r="C43" s="97">
        <v>2.59</v>
      </c>
      <c r="D43" s="78">
        <v>2.6255441899999998</v>
      </c>
      <c r="E43" s="121">
        <v>2.7890753099999999</v>
      </c>
      <c r="F43" s="1">
        <f t="shared" si="6"/>
        <v>2.6682064999999997</v>
      </c>
      <c r="G43" s="2">
        <f t="shared" si="7"/>
        <v>8.6690250446829764E-2</v>
      </c>
    </row>
    <row r="44" spans="1:7" ht="15.75" thickBot="1" x14ac:dyDescent="0.3">
      <c r="A44" s="167"/>
      <c r="B44" s="30" t="s">
        <v>80</v>
      </c>
      <c r="C44" s="97">
        <v>2.6</v>
      </c>
      <c r="D44" s="81">
        <v>2.82345932</v>
      </c>
      <c r="E44" s="122">
        <v>2.4699279199999999</v>
      </c>
      <c r="F44" s="1">
        <f t="shared" si="6"/>
        <v>2.63112908</v>
      </c>
      <c r="G44" s="2">
        <f t="shared" si="7"/>
        <v>0.14599743699285686</v>
      </c>
    </row>
    <row r="45" spans="1:7" ht="15.75" thickTop="1" x14ac:dyDescent="0.25">
      <c r="A45" s="165" t="s">
        <v>81</v>
      </c>
      <c r="B45" s="28" t="s">
        <v>73</v>
      </c>
      <c r="C45" s="97">
        <v>4.34</v>
      </c>
      <c r="D45" s="78">
        <v>3.1931603800000001</v>
      </c>
      <c r="E45" s="121">
        <v>3.23486954</v>
      </c>
      <c r="F45" s="1">
        <f t="shared" si="6"/>
        <v>3.5893433066666667</v>
      </c>
      <c r="G45" s="2">
        <f t="shared" si="7"/>
        <v>0.53106748908312229</v>
      </c>
    </row>
    <row r="46" spans="1:7" x14ac:dyDescent="0.25">
      <c r="A46" s="166"/>
      <c r="B46" s="29" t="s">
        <v>74</v>
      </c>
      <c r="C46" s="97">
        <v>3.17</v>
      </c>
      <c r="D46" s="78">
        <v>3.0450990299999998</v>
      </c>
      <c r="E46" s="121">
        <v>3.0905917600000001</v>
      </c>
      <c r="F46" s="1">
        <f t="shared" si="6"/>
        <v>3.1018969300000001</v>
      </c>
      <c r="G46" s="2">
        <f t="shared" si="7"/>
        <v>5.1613423501268248E-2</v>
      </c>
    </row>
    <row r="47" spans="1:7" x14ac:dyDescent="0.25">
      <c r="A47" s="166"/>
      <c r="B47" s="29" t="s">
        <v>75</v>
      </c>
      <c r="C47" s="97">
        <v>3.17</v>
      </c>
      <c r="D47" s="78">
        <v>3.0624344300000002</v>
      </c>
      <c r="E47" s="121">
        <v>3.10400813</v>
      </c>
      <c r="F47" s="1">
        <f t="shared" si="6"/>
        <v>3.1121475200000002</v>
      </c>
      <c r="G47" s="2">
        <f t="shared" si="7"/>
        <v>4.4289014548646179E-2</v>
      </c>
    </row>
    <row r="48" spans="1:7" x14ac:dyDescent="0.25">
      <c r="A48" s="166"/>
      <c r="B48" s="29" t="s">
        <v>76</v>
      </c>
      <c r="C48" s="97">
        <v>0.21299999999999999</v>
      </c>
      <c r="D48" s="78">
        <v>3.0737212399999998</v>
      </c>
      <c r="E48" s="121">
        <v>3.1146272700000002</v>
      </c>
      <c r="F48" s="1">
        <f t="shared" si="6"/>
        <v>2.1337828366666667</v>
      </c>
      <c r="G48" s="2">
        <f t="shared" si="7"/>
        <v>1.3583012319431764</v>
      </c>
    </row>
    <row r="49" spans="1:7" x14ac:dyDescent="0.25">
      <c r="A49" s="166"/>
      <c r="B49" s="29" t="s">
        <v>77</v>
      </c>
      <c r="C49" s="97">
        <v>2.95</v>
      </c>
      <c r="D49" s="78">
        <v>3.0831841400000002</v>
      </c>
      <c r="E49" s="121">
        <v>3.1240378899999999</v>
      </c>
      <c r="F49" s="1">
        <f t="shared" si="6"/>
        <v>3.0524073433333334</v>
      </c>
      <c r="G49" s="2">
        <f t="shared" si="7"/>
        <v>7.4308838409747793E-2</v>
      </c>
    </row>
    <row r="50" spans="1:7" x14ac:dyDescent="0.25">
      <c r="A50" s="166"/>
      <c r="B50" s="29" t="s">
        <v>78</v>
      </c>
      <c r="C50" s="97">
        <v>3.16</v>
      </c>
      <c r="D50" s="78">
        <v>3.09147638</v>
      </c>
      <c r="E50" s="121">
        <v>3.13180207</v>
      </c>
      <c r="F50" s="1">
        <f t="shared" si="6"/>
        <v>3.1277594833333331</v>
      </c>
      <c r="G50" s="2">
        <f t="shared" si="7"/>
        <v>2.8120318925339817E-2</v>
      </c>
    </row>
    <row r="51" spans="1:7" x14ac:dyDescent="0.25">
      <c r="A51" s="166"/>
      <c r="B51" s="29" t="s">
        <v>79</v>
      </c>
      <c r="C51" s="97">
        <v>3.17</v>
      </c>
      <c r="D51" s="78">
        <v>3.10991814</v>
      </c>
      <c r="E51" s="121">
        <v>3.15005918</v>
      </c>
      <c r="F51" s="1">
        <f t="shared" si="6"/>
        <v>3.1433257733333329</v>
      </c>
      <c r="G51" s="2">
        <f t="shared" si="7"/>
        <v>2.4986150153887669E-2</v>
      </c>
    </row>
    <row r="52" spans="1:7" x14ac:dyDescent="0.25">
      <c r="A52" s="166"/>
      <c r="B52" s="29" t="s">
        <v>82</v>
      </c>
      <c r="C52" s="97">
        <v>3.03</v>
      </c>
      <c r="D52" s="78">
        <v>2.97044671</v>
      </c>
      <c r="E52" s="121">
        <v>3.0128010600000001</v>
      </c>
      <c r="F52" s="1">
        <f t="shared" si="6"/>
        <v>3.0044159233333332</v>
      </c>
      <c r="G52" s="2">
        <f t="shared" si="7"/>
        <v>2.5025073761396829E-2</v>
      </c>
    </row>
    <row r="53" spans="1:7" x14ac:dyDescent="0.25">
      <c r="A53" s="166"/>
      <c r="B53" s="29" t="s">
        <v>83</v>
      </c>
      <c r="C53" s="97">
        <v>2.93</v>
      </c>
      <c r="D53" s="78">
        <v>2.8533215099999998</v>
      </c>
      <c r="E53" s="121">
        <v>2.9035513499999999</v>
      </c>
      <c r="F53" s="1">
        <f t="shared" si="6"/>
        <v>2.895624286666667</v>
      </c>
      <c r="G53" s="2">
        <f t="shared" si="7"/>
        <v>3.1801744784293907E-2</v>
      </c>
    </row>
    <row r="54" spans="1:7" x14ac:dyDescent="0.25">
      <c r="A54" s="166"/>
      <c r="B54" s="29" t="s">
        <v>84</v>
      </c>
      <c r="C54" s="97">
        <v>2.82</v>
      </c>
      <c r="D54" s="78">
        <v>2.7333270600000001</v>
      </c>
      <c r="E54" s="121">
        <v>2.7645222</v>
      </c>
      <c r="F54" s="1">
        <f t="shared" si="6"/>
        <v>2.7726164199999999</v>
      </c>
      <c r="G54" s="2">
        <f t="shared" si="7"/>
        <v>3.584398536358354E-2</v>
      </c>
    </row>
    <row r="55" spans="1:7" x14ac:dyDescent="0.25">
      <c r="A55" s="166"/>
      <c r="B55" s="29" t="s">
        <v>85</v>
      </c>
      <c r="C55" s="97">
        <v>2.59</v>
      </c>
      <c r="D55" s="78">
        <v>2.44159419</v>
      </c>
      <c r="E55" s="121">
        <v>2.46361747</v>
      </c>
      <c r="F55" s="1">
        <f t="shared" si="6"/>
        <v>2.4984038866666665</v>
      </c>
      <c r="G55" s="2">
        <f t="shared" si="7"/>
        <v>6.5389306968949304E-2</v>
      </c>
    </row>
    <row r="56" spans="1:7" ht="15.75" thickBot="1" x14ac:dyDescent="0.3">
      <c r="A56" s="167"/>
      <c r="B56" s="30" t="s">
        <v>86</v>
      </c>
      <c r="C56" s="97">
        <v>1.88</v>
      </c>
      <c r="D56" s="81">
        <v>1.65416878</v>
      </c>
      <c r="E56" s="122">
        <v>1.6423016100000001</v>
      </c>
      <c r="F56" s="1">
        <f t="shared" si="6"/>
        <v>1.7254901300000001</v>
      </c>
      <c r="G56" s="2">
        <f t="shared" si="7"/>
        <v>0.10936234079582995</v>
      </c>
    </row>
    <row r="57" spans="1:7" ht="15.75" thickTop="1" x14ac:dyDescent="0.25">
      <c r="A57" s="165" t="s">
        <v>87</v>
      </c>
      <c r="B57" s="31">
        <v>0.9</v>
      </c>
      <c r="D57" s="84">
        <v>20.799765300000001</v>
      </c>
      <c r="E57" s="123">
        <v>18.861935899999999</v>
      </c>
      <c r="F57" s="1">
        <f t="shared" si="6"/>
        <v>19.830850599999998</v>
      </c>
      <c r="G57" s="2">
        <f t="shared" si="7"/>
        <v>0.96891470000000091</v>
      </c>
    </row>
    <row r="58" spans="1:7" x14ac:dyDescent="0.25">
      <c r="A58" s="166"/>
      <c r="B58" s="32">
        <v>0.8</v>
      </c>
      <c r="D58" s="87">
        <v>21.465667</v>
      </c>
      <c r="E58" s="124">
        <v>19.7617063</v>
      </c>
      <c r="F58" s="1">
        <f t="shared" si="6"/>
        <v>20.613686649999998</v>
      </c>
      <c r="G58" s="2">
        <f t="shared" si="7"/>
        <v>0.85198034999999983</v>
      </c>
    </row>
    <row r="59" spans="1:7" x14ac:dyDescent="0.25">
      <c r="A59" s="166"/>
      <c r="B59" s="32">
        <v>0.7</v>
      </c>
      <c r="D59" s="78">
        <v>22.989864499999999</v>
      </c>
      <c r="E59" s="121">
        <v>20.996985500000001</v>
      </c>
      <c r="F59" s="1">
        <f t="shared" si="6"/>
        <v>21.993425000000002</v>
      </c>
      <c r="G59" s="2">
        <f t="shared" si="7"/>
        <v>0.99643949999999926</v>
      </c>
    </row>
    <row r="60" spans="1:7" x14ac:dyDescent="0.25">
      <c r="A60" s="166"/>
      <c r="B60" s="32">
        <v>0.6</v>
      </c>
      <c r="D60" s="78">
        <v>25.756188099999999</v>
      </c>
      <c r="E60" s="121">
        <v>23.215936299999999</v>
      </c>
      <c r="F60" s="1">
        <f t="shared" si="6"/>
        <v>24.486062199999999</v>
      </c>
      <c r="G60" s="2">
        <f t="shared" si="7"/>
        <v>1.2701259</v>
      </c>
    </row>
    <row r="61" spans="1:7" x14ac:dyDescent="0.25">
      <c r="A61" s="166"/>
      <c r="B61" s="32">
        <v>0.5</v>
      </c>
      <c r="D61" s="78">
        <v>30.5613101</v>
      </c>
      <c r="E61" s="121">
        <v>27.4958201</v>
      </c>
      <c r="F61" s="1">
        <f t="shared" si="6"/>
        <v>29.028565100000002</v>
      </c>
      <c r="G61" s="2">
        <f t="shared" si="7"/>
        <v>1.5327450000000002</v>
      </c>
    </row>
    <row r="62" spans="1:7" x14ac:dyDescent="0.25">
      <c r="A62" s="166"/>
      <c r="B62" s="32">
        <v>0.4</v>
      </c>
      <c r="D62" s="78">
        <v>41.5656137</v>
      </c>
      <c r="E62" s="121">
        <v>37.156607100000002</v>
      </c>
      <c r="F62" s="1">
        <f t="shared" si="6"/>
        <v>39.361110400000001</v>
      </c>
      <c r="G62" s="2">
        <f t="shared" si="7"/>
        <v>2.2045032999999989</v>
      </c>
    </row>
    <row r="63" spans="1:7" x14ac:dyDescent="0.25">
      <c r="A63" s="166"/>
      <c r="B63" s="32">
        <v>0.3</v>
      </c>
      <c r="D63" s="78">
        <v>62.490213699999998</v>
      </c>
      <c r="E63" s="121">
        <v>60.327539799999997</v>
      </c>
      <c r="F63" s="1">
        <f t="shared" si="6"/>
        <v>61.408876749999997</v>
      </c>
      <c r="G63" s="2">
        <f t="shared" si="7"/>
        <v>1.0813369500000007</v>
      </c>
    </row>
    <row r="64" spans="1:7" x14ac:dyDescent="0.25">
      <c r="A64" s="166"/>
      <c r="B64" s="32">
        <v>0.2</v>
      </c>
      <c r="D64" s="78">
        <v>72.472791200000003</v>
      </c>
      <c r="E64" s="121">
        <v>76.025128800000005</v>
      </c>
      <c r="F64" s="1">
        <f t="shared" si="6"/>
        <v>74.248960000000011</v>
      </c>
      <c r="G64" s="2">
        <f t="shared" si="7"/>
        <v>1.7761688000000007</v>
      </c>
    </row>
    <row r="65" spans="1:7" x14ac:dyDescent="0.25">
      <c r="A65" s="166"/>
      <c r="B65" s="32">
        <v>0.1</v>
      </c>
      <c r="D65" s="78">
        <v>82.005749699999996</v>
      </c>
      <c r="E65" s="121">
        <v>84.162225100000001</v>
      </c>
      <c r="F65" s="1">
        <f t="shared" si="6"/>
        <v>83.083987399999998</v>
      </c>
      <c r="G65" s="2">
        <f t="shared" si="7"/>
        <v>1.0782377000000025</v>
      </c>
    </row>
    <row r="66" spans="1:7" x14ac:dyDescent="0.25">
      <c r="A66" s="166"/>
      <c r="B66" s="32">
        <v>0.5</v>
      </c>
      <c r="D66" s="78">
        <v>17.206118499999999</v>
      </c>
      <c r="E66" s="121">
        <v>15.6760945</v>
      </c>
      <c r="F66" s="1">
        <f t="shared" si="6"/>
        <v>16.4411065</v>
      </c>
      <c r="G66" s="2">
        <f t="shared" si="7"/>
        <v>0.76501199999999958</v>
      </c>
    </row>
    <row r="67" spans="1:7" ht="15.75" thickBot="1" x14ac:dyDescent="0.3">
      <c r="A67" s="167"/>
      <c r="B67" s="33">
        <v>0.2</v>
      </c>
      <c r="D67" s="81">
        <v>48.509687</v>
      </c>
      <c r="E67" s="122">
        <v>41.223365100000002</v>
      </c>
      <c r="F67" s="1">
        <f t="shared" si="6"/>
        <v>44.866526050000004</v>
      </c>
      <c r="G67" s="2">
        <f t="shared" si="7"/>
        <v>3.6431609499999986</v>
      </c>
    </row>
    <row r="68" spans="1:7" ht="15.75" thickTop="1" x14ac:dyDescent="0.25">
      <c r="A68" s="165" t="s">
        <v>88</v>
      </c>
      <c r="B68" s="31">
        <v>0.9</v>
      </c>
      <c r="D68" s="78">
        <v>20.905253900000002</v>
      </c>
      <c r="E68" s="121">
        <v>19.129583</v>
      </c>
      <c r="F68" s="1">
        <f t="shared" si="6"/>
        <v>20.017418450000001</v>
      </c>
      <c r="G68" s="2">
        <f t="shared" si="7"/>
        <v>0.88783545000000075</v>
      </c>
    </row>
    <row r="69" spans="1:7" x14ac:dyDescent="0.25">
      <c r="A69" s="166"/>
      <c r="B69" s="32">
        <v>0.8</v>
      </c>
      <c r="D69" s="78">
        <v>21.951747999999998</v>
      </c>
      <c r="E69" s="121">
        <v>20.024406200000001</v>
      </c>
      <c r="F69" s="1">
        <f t="shared" si="6"/>
        <v>20.988077099999998</v>
      </c>
      <c r="G69" s="2">
        <f t="shared" si="7"/>
        <v>0.96367089999999855</v>
      </c>
    </row>
    <row r="70" spans="1:7" x14ac:dyDescent="0.25">
      <c r="A70" s="166"/>
      <c r="B70" s="32">
        <v>0.7</v>
      </c>
      <c r="D70" s="78">
        <v>23.4305813</v>
      </c>
      <c r="E70" s="121">
        <v>21.231901100000002</v>
      </c>
      <c r="F70" s="1">
        <f t="shared" si="6"/>
        <v>22.331241200000001</v>
      </c>
      <c r="G70" s="2">
        <f t="shared" si="7"/>
        <v>1.0993400999999992</v>
      </c>
    </row>
    <row r="71" spans="1:7" x14ac:dyDescent="0.25">
      <c r="A71" s="166"/>
      <c r="B71" s="32">
        <v>0.6</v>
      </c>
      <c r="D71" s="78">
        <v>26.395375399999999</v>
      </c>
      <c r="E71" s="121">
        <v>23.838251</v>
      </c>
      <c r="F71" s="1">
        <f t="shared" si="6"/>
        <v>25.116813199999999</v>
      </c>
      <c r="G71" s="2">
        <f t="shared" si="7"/>
        <v>1.2785621999999996</v>
      </c>
    </row>
    <row r="72" spans="1:7" x14ac:dyDescent="0.25">
      <c r="A72" s="166"/>
      <c r="B72" s="32">
        <v>0.5</v>
      </c>
      <c r="D72" s="78">
        <v>31.578631999999999</v>
      </c>
      <c r="E72" s="121">
        <v>28.423702200000001</v>
      </c>
      <c r="F72" s="1">
        <f t="shared" si="6"/>
        <v>30.0011671</v>
      </c>
      <c r="G72" s="2">
        <f t="shared" si="7"/>
        <v>1.5774648999999989</v>
      </c>
    </row>
    <row r="73" spans="1:7" x14ac:dyDescent="0.25">
      <c r="A73" s="166"/>
      <c r="B73" s="32">
        <v>0.4</v>
      </c>
      <c r="D73" s="78">
        <v>42.856143199999998</v>
      </c>
      <c r="E73" s="121">
        <v>38.4253061</v>
      </c>
      <c r="F73" s="1">
        <f t="shared" si="6"/>
        <v>40.640724649999996</v>
      </c>
      <c r="G73" s="2">
        <f t="shared" si="7"/>
        <v>2.215418549999999</v>
      </c>
    </row>
    <row r="74" spans="1:7" x14ac:dyDescent="0.25">
      <c r="A74" s="166"/>
      <c r="B74" s="32">
        <v>0.3</v>
      </c>
      <c r="D74" s="78">
        <v>61.504196499999999</v>
      </c>
      <c r="E74" s="121">
        <v>59.852551300000002</v>
      </c>
      <c r="F74" s="1">
        <f t="shared" si="6"/>
        <v>60.678373899999997</v>
      </c>
      <c r="G74" s="2">
        <f t="shared" si="7"/>
        <v>0.82582259999999863</v>
      </c>
    </row>
    <row r="75" spans="1:7" x14ac:dyDescent="0.25">
      <c r="A75" s="166"/>
      <c r="B75" s="32">
        <v>0.2</v>
      </c>
      <c r="D75" s="78">
        <v>72.666863500000005</v>
      </c>
      <c r="E75" s="121">
        <v>73.726960700000006</v>
      </c>
      <c r="F75" s="1">
        <f t="shared" si="6"/>
        <v>73.196912100000006</v>
      </c>
      <c r="G75" s="2">
        <f t="shared" si="7"/>
        <v>0.53004860000000065</v>
      </c>
    </row>
    <row r="76" spans="1:7" x14ac:dyDescent="0.25">
      <c r="A76" s="166"/>
      <c r="B76" s="32">
        <v>0.1</v>
      </c>
      <c r="D76" s="78">
        <v>156.447</v>
      </c>
      <c r="E76" s="121">
        <v>140.74941999999999</v>
      </c>
      <c r="F76" s="1">
        <f t="shared" si="6"/>
        <v>148.59820999999999</v>
      </c>
      <c r="G76" s="2">
        <f t="shared" si="7"/>
        <v>7.8487900000000081</v>
      </c>
    </row>
    <row r="77" spans="1:7" x14ac:dyDescent="0.25">
      <c r="A77" s="166"/>
      <c r="B77" s="32">
        <v>0.5</v>
      </c>
      <c r="D77" s="78">
        <v>17.278079699999999</v>
      </c>
      <c r="E77" s="121">
        <v>15.734612800000001</v>
      </c>
      <c r="F77" s="1">
        <f t="shared" si="6"/>
        <v>16.50634625</v>
      </c>
      <c r="G77" s="2">
        <f t="shared" si="7"/>
        <v>0.77173344999999927</v>
      </c>
    </row>
    <row r="78" spans="1:7" ht="15.75" thickBot="1" x14ac:dyDescent="0.3">
      <c r="A78" s="167"/>
      <c r="B78" s="33">
        <v>0.2</v>
      </c>
      <c r="D78" s="81">
        <v>59.238025200000003</v>
      </c>
      <c r="E78" s="122">
        <v>50.202705399999999</v>
      </c>
      <c r="F78" s="1">
        <f t="shared" si="6"/>
        <v>54.720365299999997</v>
      </c>
      <c r="G78" s="2">
        <f t="shared" si="7"/>
        <v>4.5176599000000017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1.9135391999999998E-2</v>
      </c>
      <c r="D80">
        <f t="shared" ref="D80:E80" si="8">D25</f>
        <v>1.9190688000000001E-2</v>
      </c>
      <c r="E80">
        <f t="shared" si="8"/>
        <v>1.9311455999999998E-2</v>
      </c>
      <c r="F80" s="1">
        <f t="shared" ref="F80:F104" si="9">AVERAGE(C80:E80)</f>
        <v>1.9212511999999998E-2</v>
      </c>
      <c r="G80" s="2">
        <f t="shared" ref="G80:G104" si="10">_xlfn.STDEV.P(C80:E80)</f>
        <v>7.3515750040382209E-5</v>
      </c>
    </row>
    <row r="81" spans="1:7" ht="15.75" thickTop="1" x14ac:dyDescent="0.25">
      <c r="A81" s="161" t="s">
        <v>90</v>
      </c>
      <c r="B81" s="38" t="s">
        <v>73</v>
      </c>
      <c r="C81">
        <f>C33/C80</f>
        <v>255.02482520347638</v>
      </c>
      <c r="D81">
        <f t="shared" ref="D81:E81" si="11">D33/D80</f>
        <v>183.56271958566572</v>
      </c>
      <c r="E81">
        <f t="shared" si="11"/>
        <v>183.28230041277055</v>
      </c>
      <c r="F81" s="1">
        <f t="shared" si="9"/>
        <v>207.28994840063754</v>
      </c>
      <c r="G81" s="2">
        <f t="shared" si="10"/>
        <v>33.753849225086178</v>
      </c>
    </row>
    <row r="82" spans="1:7" x14ac:dyDescent="0.25">
      <c r="A82" s="162"/>
      <c r="B82" s="38" t="s">
        <v>74</v>
      </c>
      <c r="C82">
        <f>C34/C80</f>
        <v>173.50049583515198</v>
      </c>
      <c r="D82">
        <f t="shared" ref="D82:E82" si="12">D34/D80</f>
        <v>167.07767798632335</v>
      </c>
      <c r="E82">
        <f t="shared" si="12"/>
        <v>168.20439898472702</v>
      </c>
      <c r="F82" s="1">
        <f t="shared" si="9"/>
        <v>169.59419093540077</v>
      </c>
      <c r="G82" s="2">
        <f t="shared" si="10"/>
        <v>2.8002129120748527</v>
      </c>
    </row>
    <row r="83" spans="1:7" x14ac:dyDescent="0.25">
      <c r="A83" s="162"/>
      <c r="B83" s="38" t="s">
        <v>75</v>
      </c>
      <c r="C83">
        <f>C35/C80</f>
        <v>166.18420986619978</v>
      </c>
      <c r="D83">
        <f t="shared" ref="D83:E83" si="13">D35/D80</f>
        <v>159.11494105891356</v>
      </c>
      <c r="E83">
        <f t="shared" si="13"/>
        <v>160.49247296526997</v>
      </c>
      <c r="F83" s="1">
        <f t="shared" si="9"/>
        <v>161.93054129679444</v>
      </c>
      <c r="G83" s="2">
        <f t="shared" si="10"/>
        <v>3.0599205612801632</v>
      </c>
    </row>
    <row r="84" spans="1:7" x14ac:dyDescent="0.25">
      <c r="A84" s="162"/>
      <c r="B84" s="38" t="s">
        <v>76</v>
      </c>
      <c r="C84">
        <f>C36/C80</f>
        <v>165.66161801127461</v>
      </c>
      <c r="D84">
        <f t="shared" ref="D84:E84" si="14">D36/D80</f>
        <v>160.06558232826254</v>
      </c>
      <c r="E84">
        <f t="shared" si="14"/>
        <v>161.18161934553254</v>
      </c>
      <c r="F84" s="1">
        <f t="shared" si="9"/>
        <v>162.30293989502323</v>
      </c>
      <c r="G84" s="2">
        <f t="shared" si="10"/>
        <v>2.4182533190188722</v>
      </c>
    </row>
    <row r="85" spans="1:7" x14ac:dyDescent="0.25">
      <c r="A85" s="162"/>
      <c r="B85" s="38" t="s">
        <v>77</v>
      </c>
      <c r="C85">
        <f>C37/C80</f>
        <v>165.66161801127461</v>
      </c>
      <c r="D85">
        <f t="shared" ref="D85:E85" si="15">D37/D80</f>
        <v>160.60240414517708</v>
      </c>
      <c r="E85">
        <f t="shared" si="15"/>
        <v>161.7085216153562</v>
      </c>
      <c r="F85" s="1">
        <f t="shared" si="9"/>
        <v>162.65751459060263</v>
      </c>
      <c r="G85" s="2">
        <f t="shared" si="10"/>
        <v>2.1716893556290371</v>
      </c>
    </row>
    <row r="86" spans="1:7" x14ac:dyDescent="0.25">
      <c r="A86" s="162"/>
      <c r="B86" s="38" t="s">
        <v>78</v>
      </c>
      <c r="C86">
        <f>C38/C80</f>
        <v>165.66161801127461</v>
      </c>
      <c r="D86">
        <f t="shared" ref="D86:E86" si="16">D38/D80</f>
        <v>161.11517054521443</v>
      </c>
      <c r="E86">
        <f t="shared" si="16"/>
        <v>162.170138284757</v>
      </c>
      <c r="F86" s="1">
        <f t="shared" si="9"/>
        <v>162.982308947082</v>
      </c>
      <c r="G86" s="2">
        <f t="shared" si="10"/>
        <v>1.9428950956356099</v>
      </c>
    </row>
    <row r="87" spans="1:7" x14ac:dyDescent="0.25">
      <c r="A87" s="162"/>
      <c r="B87" s="38" t="s">
        <v>79</v>
      </c>
      <c r="C87">
        <f>C39/C80</f>
        <v>165.66161801127461</v>
      </c>
      <c r="D87">
        <f t="shared" ref="D87:E87" si="17">D39/D80</f>
        <v>162.17402523557257</v>
      </c>
      <c r="E87">
        <f t="shared" si="17"/>
        <v>163.24059666966593</v>
      </c>
      <c r="F87" s="1">
        <f t="shared" si="9"/>
        <v>163.69207997217106</v>
      </c>
      <c r="G87" s="2">
        <f t="shared" si="10"/>
        <v>1.4591558567913969</v>
      </c>
    </row>
    <row r="88" spans="1:7" x14ac:dyDescent="0.25">
      <c r="A88" s="162"/>
      <c r="B88" s="38" t="s">
        <v>80</v>
      </c>
      <c r="C88">
        <f>C40/C80</f>
        <v>165.13902615634947</v>
      </c>
      <c r="D88">
        <f t="shared" ref="D88:E88" si="18">D40/D80</f>
        <v>166.56568227256886</v>
      </c>
      <c r="E88">
        <f t="shared" si="18"/>
        <v>162.92500834737683</v>
      </c>
      <c r="F88" s="1">
        <f t="shared" si="9"/>
        <v>164.87657225876507</v>
      </c>
      <c r="G88" s="2">
        <f t="shared" si="10"/>
        <v>1.4978402659966181</v>
      </c>
    </row>
    <row r="89" spans="1:7" x14ac:dyDescent="0.25">
      <c r="A89" s="162"/>
      <c r="B89" s="38" t="s">
        <v>80</v>
      </c>
      <c r="C89">
        <f>C41/C80</f>
        <v>158.86792389724761</v>
      </c>
      <c r="D89">
        <f t="shared" ref="D89:E89" si="19">D41/D80</f>
        <v>193.74007695815803</v>
      </c>
      <c r="E89">
        <f t="shared" si="19"/>
        <v>156.33576515411372</v>
      </c>
      <c r="F89" s="1">
        <f t="shared" si="9"/>
        <v>169.64792200317311</v>
      </c>
      <c r="G89" s="2">
        <f t="shared" si="10"/>
        <v>17.067061937278822</v>
      </c>
    </row>
    <row r="90" spans="1:7" x14ac:dyDescent="0.25">
      <c r="A90" s="162"/>
      <c r="B90" s="38" t="s">
        <v>80</v>
      </c>
      <c r="C90">
        <f>C42/C80</f>
        <v>153.64200534799602</v>
      </c>
      <c r="D90">
        <f t="shared" ref="D90:E90" si="20">D42/D80</f>
        <v>166.70883920368044</v>
      </c>
      <c r="E90">
        <f t="shared" si="20"/>
        <v>150.62628006919832</v>
      </c>
      <c r="F90" s="1">
        <f t="shared" si="9"/>
        <v>156.99237487362493</v>
      </c>
      <c r="G90" s="2">
        <f t="shared" si="10"/>
        <v>6.9800147586866776</v>
      </c>
    </row>
    <row r="91" spans="1:7" x14ac:dyDescent="0.25">
      <c r="A91" s="162"/>
      <c r="B91" s="38" t="s">
        <v>80</v>
      </c>
      <c r="C91">
        <f>C43/C80</f>
        <v>135.35129042561553</v>
      </c>
      <c r="D91">
        <f t="shared" ref="D91:E91" si="21">D43/D80</f>
        <v>136.81344775132604</v>
      </c>
      <c r="E91">
        <f t="shared" si="21"/>
        <v>144.4259464433961</v>
      </c>
      <c r="F91" s="1">
        <f t="shared" si="9"/>
        <v>138.86356154011256</v>
      </c>
      <c r="G91" s="2">
        <f t="shared" si="10"/>
        <v>3.9782383346140988</v>
      </c>
    </row>
    <row r="92" spans="1:7" ht="15.75" thickBot="1" x14ac:dyDescent="0.3">
      <c r="A92" s="163"/>
      <c r="B92" s="39" t="s">
        <v>80</v>
      </c>
      <c r="C92">
        <f>C44/C80</f>
        <v>135.8738822805407</v>
      </c>
      <c r="D92">
        <f t="shared" ref="D92:E92" si="22">D44/D80</f>
        <v>147.12652928336908</v>
      </c>
      <c r="E92">
        <f t="shared" si="22"/>
        <v>127.89962186175917</v>
      </c>
      <c r="F92" s="1">
        <f t="shared" si="9"/>
        <v>136.96667780855631</v>
      </c>
      <c r="G92" s="2">
        <f t="shared" si="10"/>
        <v>7.8872954299653202</v>
      </c>
    </row>
    <row r="93" spans="1:7" ht="15.75" thickTop="1" x14ac:dyDescent="0.25">
      <c r="A93" s="161" t="s">
        <v>91</v>
      </c>
      <c r="B93" s="40" t="s">
        <v>73</v>
      </c>
      <c r="C93">
        <f>C45/C80</f>
        <v>226.80486503751794</v>
      </c>
      <c r="D93">
        <f t="shared" ref="D93:E93" si="23">D45/D80</f>
        <v>166.39113615937063</v>
      </c>
      <c r="E93">
        <f t="shared" si="23"/>
        <v>167.51039072351668</v>
      </c>
      <c r="F93" s="1">
        <f t="shared" si="9"/>
        <v>186.90213064013508</v>
      </c>
      <c r="G93" s="2">
        <f t="shared" si="10"/>
        <v>28.21919372797996</v>
      </c>
    </row>
    <row r="94" spans="1:7" x14ac:dyDescent="0.25">
      <c r="A94" s="162"/>
      <c r="B94" s="38" t="s">
        <v>74</v>
      </c>
      <c r="C94">
        <f>C46/C80</f>
        <v>165.66161801127461</v>
      </c>
      <c r="D94">
        <f t="shared" ref="D94:E94" si="24">D46/D80</f>
        <v>158.67586560731954</v>
      </c>
      <c r="E94">
        <f t="shared" si="24"/>
        <v>160.03929273898356</v>
      </c>
      <c r="F94" s="1">
        <f t="shared" si="9"/>
        <v>161.4589254525259</v>
      </c>
      <c r="G94" s="2">
        <f t="shared" si="10"/>
        <v>3.0234309366855312</v>
      </c>
    </row>
    <row r="95" spans="1:7" x14ac:dyDescent="0.25">
      <c r="A95" s="162"/>
      <c r="B95" s="38" t="s">
        <v>75</v>
      </c>
      <c r="C95">
        <f>C47/C80</f>
        <v>165.66161801127461</v>
      </c>
      <c r="D95">
        <f t="shared" ref="D95:E95" si="25">D47/D80</f>
        <v>159.57918913589756</v>
      </c>
      <c r="E95">
        <f t="shared" si="25"/>
        <v>160.7340290654418</v>
      </c>
      <c r="F95" s="1">
        <f t="shared" si="9"/>
        <v>161.99161207087133</v>
      </c>
      <c r="G95" s="2">
        <f t="shared" si="10"/>
        <v>2.6375647249769361</v>
      </c>
    </row>
    <row r="96" spans="1:7" x14ac:dyDescent="0.25">
      <c r="A96" s="162"/>
      <c r="B96" s="38" t="s">
        <v>76</v>
      </c>
      <c r="C96">
        <f>C48/C80</f>
        <v>11.131206509905834</v>
      </c>
      <c r="D96">
        <f t="shared" ref="D96:E96" si="26">D48/D80</f>
        <v>160.16732907126621</v>
      </c>
      <c r="E96">
        <f t="shared" si="26"/>
        <v>161.28391717330896</v>
      </c>
      <c r="F96" s="1">
        <f t="shared" si="9"/>
        <v>110.86081758482699</v>
      </c>
      <c r="G96" s="2">
        <f t="shared" si="10"/>
        <v>70.520957575809504</v>
      </c>
    </row>
    <row r="97" spans="1:7" x14ac:dyDescent="0.25">
      <c r="A97" s="162"/>
      <c r="B97" s="38" t="s">
        <v>77</v>
      </c>
      <c r="C97">
        <f>C49/C80</f>
        <v>154.16459720292119</v>
      </c>
      <c r="D97">
        <f t="shared" ref="D97:E97" si="27">D49/D80</f>
        <v>160.66042759905221</v>
      </c>
      <c r="E97">
        <f t="shared" si="27"/>
        <v>161.77122481080661</v>
      </c>
      <c r="F97" s="1">
        <f t="shared" si="9"/>
        <v>158.86541653759335</v>
      </c>
      <c r="G97" s="2">
        <f t="shared" si="10"/>
        <v>3.3547721655706106</v>
      </c>
    </row>
    <row r="98" spans="1:7" x14ac:dyDescent="0.25">
      <c r="A98" s="162"/>
      <c r="B98" s="38" t="s">
        <v>78</v>
      </c>
      <c r="C98">
        <f>C50/C80</f>
        <v>165.13902615634947</v>
      </c>
      <c r="D98">
        <f t="shared" ref="D98:E98" si="28">D50/D80</f>
        <v>161.09252466612972</v>
      </c>
      <c r="E98">
        <f t="shared" si="28"/>
        <v>162.1732752828166</v>
      </c>
      <c r="F98" s="1">
        <f t="shared" si="9"/>
        <v>162.80160870176528</v>
      </c>
      <c r="G98" s="2">
        <f t="shared" si="10"/>
        <v>1.7106812953934383</v>
      </c>
    </row>
    <row r="99" spans="1:7" x14ac:dyDescent="0.25">
      <c r="A99" s="162"/>
      <c r="B99" s="38" t="s">
        <v>79</v>
      </c>
      <c r="C99">
        <f>C51/C80</f>
        <v>165.66161801127461</v>
      </c>
      <c r="D99">
        <f t="shared" ref="D99:E99" si="29">D51/D80</f>
        <v>162.05349907204993</v>
      </c>
      <c r="E99">
        <f t="shared" si="29"/>
        <v>163.11867836376504</v>
      </c>
      <c r="F99" s="1">
        <f t="shared" si="9"/>
        <v>163.61126514902989</v>
      </c>
      <c r="G99" s="2">
        <f t="shared" si="10"/>
        <v>1.5136296058726095</v>
      </c>
    </row>
    <row r="100" spans="1:7" x14ac:dyDescent="0.25">
      <c r="A100" s="162"/>
      <c r="B100" s="38" t="s">
        <v>82</v>
      </c>
      <c r="C100">
        <f>C52/C80</f>
        <v>158.34533204232241</v>
      </c>
      <c r="D100">
        <f t="shared" ref="D100:E100" si="30">D52/D80</f>
        <v>154.78583727691264</v>
      </c>
      <c r="E100">
        <f t="shared" si="30"/>
        <v>156.01107756970788</v>
      </c>
      <c r="F100" s="1">
        <f t="shared" si="9"/>
        <v>156.38074896298096</v>
      </c>
      <c r="G100" s="2">
        <f t="shared" si="10"/>
        <v>1.4764808273951586</v>
      </c>
    </row>
    <row r="101" spans="1:7" x14ac:dyDescent="0.25">
      <c r="A101" s="162"/>
      <c r="B101" s="38" t="s">
        <v>83</v>
      </c>
      <c r="C101">
        <f>C53/C80</f>
        <v>153.11941349307088</v>
      </c>
      <c r="D101">
        <f t="shared" ref="D101:E101" si="31">D53/D80</f>
        <v>148.68260637659262</v>
      </c>
      <c r="E101">
        <f t="shared" si="31"/>
        <v>150.3538288361064</v>
      </c>
      <c r="F101" s="1">
        <f t="shared" si="9"/>
        <v>150.71861623525663</v>
      </c>
      <c r="G101" s="2">
        <f t="shared" si="10"/>
        <v>1.8295931664611733</v>
      </c>
    </row>
    <row r="102" spans="1:7" x14ac:dyDescent="0.25">
      <c r="A102" s="162"/>
      <c r="B102" s="38" t="s">
        <v>84</v>
      </c>
      <c r="C102">
        <f>C54/C80</f>
        <v>147.37090308889415</v>
      </c>
      <c r="D102">
        <f t="shared" ref="D102:E102" si="32">D54/D80</f>
        <v>142.42986285848636</v>
      </c>
      <c r="E102">
        <f t="shared" si="32"/>
        <v>143.15451926566286</v>
      </c>
      <c r="F102" s="1">
        <f t="shared" si="9"/>
        <v>144.31842840434777</v>
      </c>
      <c r="G102" s="2">
        <f t="shared" si="10"/>
        <v>2.1786055175980197</v>
      </c>
    </row>
    <row r="103" spans="1:7" x14ac:dyDescent="0.25">
      <c r="A103" s="162"/>
      <c r="B103" s="38" t="s">
        <v>85</v>
      </c>
      <c r="C103">
        <f>C55/C80</f>
        <v>135.35129042561553</v>
      </c>
      <c r="D103">
        <f t="shared" ref="D103:E103" si="33">D55/D80</f>
        <v>127.22806967629299</v>
      </c>
      <c r="E103">
        <f t="shared" si="33"/>
        <v>127.57284950445995</v>
      </c>
      <c r="F103" s="1">
        <f t="shared" si="9"/>
        <v>130.05073653545614</v>
      </c>
      <c r="G103" s="2">
        <f t="shared" si="10"/>
        <v>3.7506996626709936</v>
      </c>
    </row>
    <row r="104" spans="1:7" ht="15.75" thickBot="1" x14ac:dyDescent="0.3">
      <c r="A104" s="163"/>
      <c r="B104" s="39" t="s">
        <v>86</v>
      </c>
      <c r="C104">
        <f>C56/C80</f>
        <v>98.24726872592943</v>
      </c>
      <c r="D104">
        <f t="shared" ref="D104:E104" si="34">D56/D80</f>
        <v>86.196429226508187</v>
      </c>
      <c r="E104">
        <f t="shared" si="34"/>
        <v>85.042868336804858</v>
      </c>
      <c r="F104" s="1">
        <f t="shared" si="9"/>
        <v>89.828855429747492</v>
      </c>
      <c r="G104" s="2">
        <f t="shared" si="10"/>
        <v>5.9713168564710477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0.81703470031545744</v>
      </c>
      <c r="D106">
        <f t="shared" ref="D106:E106" si="35">D55/D51</f>
        <v>0.78509918270710499</v>
      </c>
      <c r="E106">
        <f t="shared" si="35"/>
        <v>0.78208609083972824</v>
      </c>
      <c r="F106" s="1">
        <f>AVERAGE(C106:E106)</f>
        <v>0.79473999128743023</v>
      </c>
      <c r="G106" s="2">
        <f>_xlfn.STDEV.P(C106:E106)</f>
        <v>1.5812657770145445E-2</v>
      </c>
    </row>
    <row r="107" spans="1:7" ht="15.75" thickBot="1" x14ac:dyDescent="0.3">
      <c r="A107" s="36"/>
      <c r="B107" s="39" t="s">
        <v>94</v>
      </c>
      <c r="C107">
        <f>(1-C45/C33)*100</f>
        <v>11.065573770491799</v>
      </c>
      <c r="D107">
        <f t="shared" ref="D107:E107" si="36">(1-D45/D33)*100</f>
        <v>9.3546137609283875</v>
      </c>
      <c r="E107">
        <f t="shared" si="36"/>
        <v>8.6052552012572558</v>
      </c>
      <c r="F107" s="1">
        <f>AVERAGE(C107:E107)</f>
        <v>9.6751475775591462</v>
      </c>
      <c r="G107" s="2">
        <f>_xlfn.STDEV.P(C107:E107)</f>
        <v>1.0296757778488645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6.5339632000000012E-3</v>
      </c>
      <c r="D110">
        <f t="shared" ref="D110:E110" si="37">D16*D21/10^4</f>
        <v>6.5339632000000012E-3</v>
      </c>
      <c r="E110">
        <f t="shared" si="37"/>
        <v>6.5339632000000012E-3</v>
      </c>
      <c r="F110" s="1">
        <f t="shared" ref="F110:F134" si="38">AVERAGE(C110:E110)</f>
        <v>6.5339632000000021E-3</v>
      </c>
      <c r="G110" s="2">
        <f t="shared" ref="G110:G134" si="39">_xlfn.STDEV.P(C110:E110)</f>
        <v>8.6736173798840355E-19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746.86677145656392</v>
      </c>
      <c r="D111">
        <f t="shared" ref="D111:E111" si="40">D33/D110</f>
        <v>539.13601472380492</v>
      </c>
      <c r="E111">
        <f t="shared" si="40"/>
        <v>541.70003283765038</v>
      </c>
      <c r="F111" s="1">
        <f t="shared" si="38"/>
        <v>609.23427300600633</v>
      </c>
      <c r="G111" s="2">
        <f t="shared" si="39"/>
        <v>97.326502110265366</v>
      </c>
    </row>
    <row r="112" spans="1:7" x14ac:dyDescent="0.25">
      <c r="A112" s="162"/>
      <c r="B112" s="38" t="s">
        <v>74</v>
      </c>
      <c r="C112">
        <f>C34/C110</f>
        <v>508.11427894176069</v>
      </c>
      <c r="D112">
        <f t="shared" ref="D112:E112" si="41">D34/D110</f>
        <v>490.71834227655268</v>
      </c>
      <c r="E112">
        <f t="shared" si="41"/>
        <v>497.13653881613527</v>
      </c>
      <c r="F112" s="1">
        <f t="shared" si="38"/>
        <v>498.65638667814954</v>
      </c>
      <c r="G112" s="2">
        <f t="shared" si="39"/>
        <v>7.1827156543902495</v>
      </c>
    </row>
    <row r="113" spans="1:7" x14ac:dyDescent="0.25">
      <c r="A113" s="162"/>
      <c r="B113" s="38" t="s">
        <v>75</v>
      </c>
      <c r="C113">
        <f>C35/C110</f>
        <v>486.68777320325273</v>
      </c>
      <c r="D113">
        <f t="shared" ref="D113:E113" si="42">D35/D110</f>
        <v>467.33125004438335</v>
      </c>
      <c r="E113">
        <f t="shared" si="42"/>
        <v>474.34355461322451</v>
      </c>
      <c r="F113" s="1">
        <f t="shared" si="38"/>
        <v>476.12085928695359</v>
      </c>
      <c r="G113" s="2">
        <f t="shared" si="39"/>
        <v>8.0015771831727402</v>
      </c>
    </row>
    <row r="114" spans="1:7" x14ac:dyDescent="0.25">
      <c r="A114" s="162"/>
      <c r="B114" s="38" t="s">
        <v>76</v>
      </c>
      <c r="C114">
        <f>C36/C110</f>
        <v>485.15730850764498</v>
      </c>
      <c r="D114">
        <f t="shared" ref="D114:E114" si="43">D36/D110</f>
        <v>470.12334718995658</v>
      </c>
      <c r="E114">
        <f t="shared" si="43"/>
        <v>476.38036130965651</v>
      </c>
      <c r="F114" s="1">
        <f t="shared" si="38"/>
        <v>477.22033900241939</v>
      </c>
      <c r="G114" s="2">
        <f t="shared" si="39"/>
        <v>6.1662614345426645</v>
      </c>
    </row>
    <row r="115" spans="1:7" x14ac:dyDescent="0.25">
      <c r="A115" s="162"/>
      <c r="B115" s="38" t="s">
        <v>77</v>
      </c>
      <c r="C115">
        <f>C37/C110</f>
        <v>485.15730850764498</v>
      </c>
      <c r="D115">
        <f t="shared" ref="D115:E115" si="44">D37/D110</f>
        <v>471.70002885844224</v>
      </c>
      <c r="E115">
        <f t="shared" si="44"/>
        <v>477.93764739905475</v>
      </c>
      <c r="F115" s="1">
        <f t="shared" si="38"/>
        <v>478.26499492171405</v>
      </c>
      <c r="G115" s="2">
        <f t="shared" si="39"/>
        <v>5.4987853925301815</v>
      </c>
    </row>
    <row r="116" spans="1:7" x14ac:dyDescent="0.25">
      <c r="A116" s="162"/>
      <c r="B116" s="38" t="s">
        <v>78</v>
      </c>
      <c r="C116">
        <f>C38/C110</f>
        <v>485.15730850764498</v>
      </c>
      <c r="D116">
        <f t="shared" ref="D116:E116" si="45">D38/D110</f>
        <v>473.20605815471981</v>
      </c>
      <c r="E116">
        <f t="shared" si="45"/>
        <v>479.30197862148952</v>
      </c>
      <c r="F116" s="1">
        <f t="shared" si="38"/>
        <v>479.22178176128477</v>
      </c>
      <c r="G116" s="2">
        <f t="shared" si="39"/>
        <v>4.8794070610996396</v>
      </c>
    </row>
    <row r="117" spans="1:7" x14ac:dyDescent="0.25">
      <c r="A117" s="162"/>
      <c r="B117" s="38" t="s">
        <v>79</v>
      </c>
      <c r="C117">
        <f>C39/C110</f>
        <v>485.15730850764498</v>
      </c>
      <c r="D117">
        <f t="shared" ref="D117:E117" si="46">D39/D110</f>
        <v>476.31598537316518</v>
      </c>
      <c r="E117">
        <f t="shared" si="46"/>
        <v>482.46577207536149</v>
      </c>
      <c r="F117" s="1">
        <f t="shared" si="38"/>
        <v>481.31302198539055</v>
      </c>
      <c r="G117" s="2">
        <f t="shared" si="39"/>
        <v>3.700348926747131</v>
      </c>
    </row>
    <row r="118" spans="1:7" x14ac:dyDescent="0.25">
      <c r="A118" s="162"/>
      <c r="B118" s="38" t="s">
        <v>80</v>
      </c>
      <c r="C118">
        <f>C40/C110</f>
        <v>483.62684381203729</v>
      </c>
      <c r="D118">
        <f t="shared" ref="D118:E118" si="47">D40/D110</f>
        <v>489.21457653755988</v>
      </c>
      <c r="E118">
        <f t="shared" si="47"/>
        <v>481.53303495801748</v>
      </c>
      <c r="F118" s="1">
        <f t="shared" si="38"/>
        <v>484.79148510253822</v>
      </c>
      <c r="G118" s="2">
        <f t="shared" si="39"/>
        <v>3.242304968302069</v>
      </c>
    </row>
    <row r="119" spans="1:7" x14ac:dyDescent="0.25">
      <c r="A119" s="162"/>
      <c r="B119" s="38" t="s">
        <v>80</v>
      </c>
      <c r="C119">
        <f>C41/C110</f>
        <v>465.26126746474472</v>
      </c>
      <c r="D119">
        <f t="shared" ref="D119:E119" si="48">D41/D110</f>
        <v>569.02759568648924</v>
      </c>
      <c r="E119">
        <f t="shared" si="48"/>
        <v>462.05819616492477</v>
      </c>
      <c r="F119" s="1">
        <f t="shared" si="38"/>
        <v>498.78235310538622</v>
      </c>
      <c r="G119" s="2">
        <f t="shared" si="39"/>
        <v>49.688097135339746</v>
      </c>
    </row>
    <row r="120" spans="1:7" x14ac:dyDescent="0.25">
      <c r="A120" s="162"/>
      <c r="B120" s="38" t="s">
        <v>80</v>
      </c>
      <c r="C120">
        <f>C42/C110</f>
        <v>449.95662050866758</v>
      </c>
      <c r="D120">
        <f t="shared" ref="D120:E120" si="49">D42/D110</f>
        <v>489.63503804245477</v>
      </c>
      <c r="E120">
        <f t="shared" si="49"/>
        <v>445.18352659225252</v>
      </c>
      <c r="F120" s="1">
        <f t="shared" si="38"/>
        <v>461.59172838112499</v>
      </c>
      <c r="G120" s="2">
        <f t="shared" si="39"/>
        <v>19.925126832798416</v>
      </c>
    </row>
    <row r="121" spans="1:7" x14ac:dyDescent="0.25">
      <c r="A121" s="162"/>
      <c r="B121" s="38" t="s">
        <v>80</v>
      </c>
      <c r="C121">
        <f>C43/C110</f>
        <v>396.39035616239761</v>
      </c>
      <c r="D121">
        <f t="shared" ref="D121:E121" si="50">D43/D110</f>
        <v>401.83026895529491</v>
      </c>
      <c r="E121">
        <f t="shared" si="50"/>
        <v>426.85812953461374</v>
      </c>
      <c r="F121" s="1">
        <f t="shared" si="38"/>
        <v>408.35958488410211</v>
      </c>
      <c r="G121" s="2">
        <f t="shared" si="39"/>
        <v>13.267636776226373</v>
      </c>
    </row>
    <row r="122" spans="1:7" ht="15.75" thickBot="1" x14ac:dyDescent="0.3">
      <c r="A122" s="163"/>
      <c r="B122" s="39" t="s">
        <v>80</v>
      </c>
      <c r="C122">
        <f>C44/C110</f>
        <v>397.92082085800536</v>
      </c>
      <c r="D122">
        <f t="shared" ref="D122:E122" si="51">D44/D110</f>
        <v>432.12048087445601</v>
      </c>
      <c r="E122">
        <f t="shared" si="51"/>
        <v>378.01374822557915</v>
      </c>
      <c r="F122" s="1">
        <f t="shared" si="38"/>
        <v>402.68501665268013</v>
      </c>
      <c r="G122" s="2">
        <f t="shared" si="39"/>
        <v>22.344392296677889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664.22167789374737</v>
      </c>
      <c r="D123">
        <f t="shared" ref="D123:E123" si="52">D45/D110</f>
        <v>488.70192290033094</v>
      </c>
      <c r="E123">
        <f t="shared" si="52"/>
        <v>495.08536258667624</v>
      </c>
      <c r="F123" s="1">
        <f t="shared" si="38"/>
        <v>549.33632112691816</v>
      </c>
      <c r="G123" s="2">
        <f t="shared" si="39"/>
        <v>81.278004302675114</v>
      </c>
    </row>
    <row r="124" spans="1:7" x14ac:dyDescent="0.25">
      <c r="A124" s="162"/>
      <c r="B124" s="38" t="s">
        <v>74</v>
      </c>
      <c r="C124">
        <f>C46/C110</f>
        <v>485.15730850764498</v>
      </c>
      <c r="D124">
        <f t="shared" ref="D124:E124" si="53">D46/D110</f>
        <v>466.04165600442917</v>
      </c>
      <c r="E124">
        <f t="shared" si="53"/>
        <v>473.00415772161062</v>
      </c>
      <c r="F124" s="1">
        <f t="shared" si="38"/>
        <v>474.73437407789493</v>
      </c>
      <c r="G124" s="2">
        <f t="shared" si="39"/>
        <v>7.899252248814042</v>
      </c>
    </row>
    <row r="125" spans="1:7" x14ac:dyDescent="0.25">
      <c r="A125" s="162"/>
      <c r="B125" s="38" t="s">
        <v>75</v>
      </c>
      <c r="C125">
        <f>C47/C110</f>
        <v>485.15730850764498</v>
      </c>
      <c r="D125">
        <f t="shared" ref="D125:E125" si="54">D47/D110</f>
        <v>468.694777772853</v>
      </c>
      <c r="E125">
        <f t="shared" si="54"/>
        <v>475.05748578443161</v>
      </c>
      <c r="F125" s="1">
        <f t="shared" si="38"/>
        <v>476.30319068830994</v>
      </c>
      <c r="G125" s="2">
        <f t="shared" si="39"/>
        <v>6.7782773169959354</v>
      </c>
    </row>
    <row r="126" spans="1:7" x14ac:dyDescent="0.25">
      <c r="A126" s="162"/>
      <c r="B126" s="38" t="s">
        <v>76</v>
      </c>
      <c r="C126">
        <f>C48/C110</f>
        <v>32.598898016444288</v>
      </c>
      <c r="D126">
        <f t="shared" ref="D126:E126" si="55">D48/D110</f>
        <v>470.42218419595616</v>
      </c>
      <c r="E126">
        <f t="shared" si="55"/>
        <v>476.68270767120322</v>
      </c>
      <c r="F126" s="1">
        <f t="shared" si="38"/>
        <v>326.56792996120123</v>
      </c>
      <c r="G126" s="2">
        <f t="shared" si="39"/>
        <v>207.88320814894951</v>
      </c>
    </row>
    <row r="127" spans="1:7" x14ac:dyDescent="0.25">
      <c r="A127" s="162"/>
      <c r="B127" s="38" t="s">
        <v>77</v>
      </c>
      <c r="C127">
        <f>C49/C110</f>
        <v>451.48708520427533</v>
      </c>
      <c r="D127">
        <f t="shared" ref="D127:E127" si="56">D49/D110</f>
        <v>471.87044763276288</v>
      </c>
      <c r="E127">
        <f t="shared" si="56"/>
        <v>478.12296983858118</v>
      </c>
      <c r="F127" s="1">
        <f t="shared" si="38"/>
        <v>467.1601675585398</v>
      </c>
      <c r="G127" s="2">
        <f t="shared" si="39"/>
        <v>11.372705375773755</v>
      </c>
    </row>
    <row r="128" spans="1:7" x14ac:dyDescent="0.25">
      <c r="A128" s="162"/>
      <c r="B128" s="38" t="s">
        <v>78</v>
      </c>
      <c r="C128">
        <f>C50/C110</f>
        <v>483.62684381203729</v>
      </c>
      <c r="D128">
        <f t="shared" ref="D128:E128" si="57">D50/D110</f>
        <v>473.13954568951345</v>
      </c>
      <c r="E128">
        <f t="shared" si="57"/>
        <v>479.31125017661554</v>
      </c>
      <c r="F128" s="1">
        <f t="shared" si="38"/>
        <v>478.69254655938875</v>
      </c>
      <c r="G128" s="2">
        <f t="shared" si="39"/>
        <v>4.3037155344461864</v>
      </c>
    </row>
    <row r="129" spans="1:7" x14ac:dyDescent="0.25">
      <c r="A129" s="162"/>
      <c r="B129" s="38" t="s">
        <v>79</v>
      </c>
      <c r="C129">
        <f>C51/C110</f>
        <v>485.15730850764498</v>
      </c>
      <c r="D129">
        <f t="shared" ref="D129:E129" si="58">D51/D110</f>
        <v>475.96199195000048</v>
      </c>
      <c r="E129">
        <f t="shared" si="58"/>
        <v>482.1054364064982</v>
      </c>
      <c r="F129" s="1">
        <f t="shared" si="38"/>
        <v>481.07491228804793</v>
      </c>
      <c r="G129" s="2">
        <f t="shared" si="39"/>
        <v>3.8240420689678287</v>
      </c>
    </row>
    <row r="130" spans="1:7" x14ac:dyDescent="0.25">
      <c r="A130" s="162"/>
      <c r="B130" s="38" t="s">
        <v>82</v>
      </c>
      <c r="C130">
        <f>C52/C110</f>
        <v>463.73080276913697</v>
      </c>
      <c r="D130">
        <f t="shared" ref="D130:E130" si="59">D52/D110</f>
        <v>454.61638198390824</v>
      </c>
      <c r="E130">
        <f t="shared" si="59"/>
        <v>461.09856572194951</v>
      </c>
      <c r="F130" s="1">
        <f t="shared" si="38"/>
        <v>459.81525015833159</v>
      </c>
      <c r="G130" s="2">
        <f t="shared" si="39"/>
        <v>3.8299991896796706</v>
      </c>
    </row>
    <row r="131" spans="1:7" x14ac:dyDescent="0.25">
      <c r="A131" s="162"/>
      <c r="B131" s="38" t="s">
        <v>83</v>
      </c>
      <c r="C131">
        <f>C53/C110</f>
        <v>448.42615581305995</v>
      </c>
      <c r="D131">
        <f t="shared" ref="D131:E131" si="60">D53/D110</f>
        <v>436.69078362730897</v>
      </c>
      <c r="E131">
        <f t="shared" si="60"/>
        <v>444.3782833059114</v>
      </c>
      <c r="F131" s="1">
        <f t="shared" si="38"/>
        <v>443.16507424876016</v>
      </c>
      <c r="G131" s="2">
        <f t="shared" si="39"/>
        <v>4.8671447651088586</v>
      </c>
    </row>
    <row r="132" spans="1:7" x14ac:dyDescent="0.25">
      <c r="A132" s="162"/>
      <c r="B132" s="38" t="s">
        <v>84</v>
      </c>
      <c r="C132">
        <f>C54/C110</f>
        <v>431.59104416137501</v>
      </c>
      <c r="D132">
        <f t="shared" ref="D132:E132" si="61">D54/D110</f>
        <v>418.32605668792252</v>
      </c>
      <c r="E132">
        <f t="shared" si="61"/>
        <v>423.10036273237648</v>
      </c>
      <c r="F132" s="1">
        <f t="shared" si="38"/>
        <v>424.33915452722471</v>
      </c>
      <c r="G132" s="2">
        <f t="shared" si="39"/>
        <v>5.4857954148844135</v>
      </c>
    </row>
    <row r="133" spans="1:7" x14ac:dyDescent="0.25">
      <c r="A133" s="162"/>
      <c r="B133" s="38" t="s">
        <v>85</v>
      </c>
      <c r="C133">
        <f>C55/C110</f>
        <v>396.39035616239761</v>
      </c>
      <c r="D133">
        <f t="shared" ref="D133:E133" si="62">D55/D110</f>
        <v>373.67737087959102</v>
      </c>
      <c r="E133">
        <f t="shared" si="62"/>
        <v>377.0479561317394</v>
      </c>
      <c r="F133" s="1">
        <f t="shared" si="38"/>
        <v>382.37189439124268</v>
      </c>
      <c r="G133" s="2">
        <f t="shared" si="39"/>
        <v>10.007602578623223</v>
      </c>
    </row>
    <row r="134" spans="1:7" ht="15.75" thickBot="1" x14ac:dyDescent="0.3">
      <c r="A134" s="163"/>
      <c r="B134" s="39" t="s">
        <v>86</v>
      </c>
      <c r="C134">
        <f>C56/C110</f>
        <v>287.72736277425003</v>
      </c>
      <c r="D134">
        <f t="shared" ref="D134:E134" si="63">D56/D110</f>
        <v>253.16469183664819</v>
      </c>
      <c r="E134">
        <f t="shared" si="63"/>
        <v>251.34846336447072</v>
      </c>
      <c r="F134" s="1">
        <f t="shared" si="38"/>
        <v>264.08017265845632</v>
      </c>
      <c r="G134" s="2">
        <f t="shared" si="39"/>
        <v>16.737520161703685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DD020</v>
      </c>
      <c r="D137" s="68" t="str">
        <f>D1</f>
        <v>DD021</v>
      </c>
      <c r="E137" s="68" t="str">
        <f>E1</f>
        <v>DD022</v>
      </c>
    </row>
    <row r="138" spans="1:7" ht="14.45" customHeight="1" x14ac:dyDescent="0.25">
      <c r="A138" s="172"/>
      <c r="B138" s="69" t="s">
        <v>100</v>
      </c>
      <c r="C138" s="68">
        <f>C25</f>
        <v>1.9135391999999998E-2</v>
      </c>
      <c r="D138" s="68">
        <f t="shared" ref="D138:E138" si="64">D25</f>
        <v>1.9190688000000001E-2</v>
      </c>
      <c r="E138" s="68">
        <f t="shared" si="64"/>
        <v>1.9311455999999998E-2</v>
      </c>
      <c r="F138" s="1">
        <f>AVERAGE(C138:E138)</f>
        <v>1.9212511999999998E-2</v>
      </c>
      <c r="G138" s="2">
        <f>_xlfn.STDEV.P(C138:E138)</f>
        <v>7.3515750040382209E-5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38</v>
      </c>
      <c r="D142" s="68">
        <f t="shared" ref="D142:E142" si="65">D21</f>
        <v>38</v>
      </c>
      <c r="E142" s="68">
        <f t="shared" si="65"/>
        <v>38</v>
      </c>
      <c r="F142" s="1">
        <f>AVERAGE(C142:E142)</f>
        <v>38</v>
      </c>
      <c r="G142" s="2">
        <f>_xlfn.STDEV.P(C142:E142)</f>
        <v>0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 t="shared" ref="D143:E143" si="66">D16</f>
        <v>1.7194640000000001</v>
      </c>
      <c r="E143" s="68">
        <f t="shared" si="66"/>
        <v>1.7194640000000001</v>
      </c>
      <c r="F143" s="1">
        <f>AVERAGE(C143:E143)</f>
        <v>1.7194640000000001</v>
      </c>
      <c r="G143" s="2">
        <f>_xlfn.STDEV.P(C143:E143)</f>
        <v>0</v>
      </c>
    </row>
    <row r="144" spans="1:7" ht="14.45" customHeight="1" x14ac:dyDescent="0.25">
      <c r="A144" s="172"/>
      <c r="B144" s="69" t="s">
        <v>106</v>
      </c>
      <c r="C144" s="68">
        <f>C22</f>
        <v>115.92391582493148</v>
      </c>
      <c r="D144" s="68">
        <f t="shared" ref="D144:E144" si="67">D22</f>
        <v>116.25890393750612</v>
      </c>
      <c r="E144" s="68">
        <f t="shared" si="67"/>
        <v>116.99052728059441</v>
      </c>
      <c r="F144" s="1">
        <f>AVERAGE(C144:E144)</f>
        <v>116.39111568101066</v>
      </c>
      <c r="G144" s="2">
        <f>_xlfn.STDEV.P(C144:E144)</f>
        <v>0.44536498753137255</v>
      </c>
    </row>
    <row r="145" spans="1:7" ht="14.45" customHeight="1" x14ac:dyDescent="0.25">
      <c r="A145" s="172"/>
      <c r="B145" s="69" t="s">
        <v>107</v>
      </c>
      <c r="C145" s="68">
        <f>C24</f>
        <v>31.569552180036208</v>
      </c>
      <c r="D145" s="68">
        <f t="shared" ref="D145:E145" si="68">D24</f>
        <v>31.371807078046498</v>
      </c>
      <c r="E145" s="68">
        <f t="shared" si="68"/>
        <v>30.939926282381524</v>
      </c>
      <c r="F145" s="1">
        <f>AVERAGE(C145:E145)</f>
        <v>31.293761846821411</v>
      </c>
      <c r="G145" s="2">
        <f>_xlfn.STDEV.P(C145:E145)</f>
        <v>0.26290110477401907</v>
      </c>
    </row>
    <row r="146" spans="1:7" ht="14.45" customHeight="1" thickBot="1" x14ac:dyDescent="0.3">
      <c r="A146" s="173"/>
      <c r="B146" s="70" t="s">
        <v>108</v>
      </c>
      <c r="C146" s="68">
        <v>85</v>
      </c>
      <c r="D146" s="68">
        <v>85</v>
      </c>
      <c r="E146" s="68">
        <v>85</v>
      </c>
      <c r="F146" s="1">
        <f>AVERAGE(C146:E146)</f>
        <v>85</v>
      </c>
      <c r="G146" s="2">
        <f>_xlfn.STDEV.P(C146:E146)</f>
        <v>0</v>
      </c>
    </row>
    <row r="148" spans="1:7" x14ac:dyDescent="0.25">
      <c r="A148" s="168" t="s">
        <v>109</v>
      </c>
      <c r="B148" s="94" t="s">
        <v>110</v>
      </c>
      <c r="C148" s="97">
        <v>3.23</v>
      </c>
      <c r="D148" s="97">
        <v>3.21</v>
      </c>
      <c r="E148" s="97">
        <v>3.26</v>
      </c>
      <c r="F148" s="1">
        <f>AVERAGE(C148:E148)</f>
        <v>3.2333333333333329</v>
      </c>
      <c r="G148" s="2">
        <f>_xlfn.STDEV.P(C148:E148)</f>
        <v>2.0548046676563177E-2</v>
      </c>
    </row>
    <row r="149" spans="1:7" x14ac:dyDescent="0.25">
      <c r="A149" s="169"/>
      <c r="B149" s="95" t="s">
        <v>111</v>
      </c>
      <c r="C149" s="97">
        <v>3.02</v>
      </c>
      <c r="D149" s="97">
        <v>2.95</v>
      </c>
      <c r="E149" s="97">
        <v>3.02</v>
      </c>
      <c r="F149" s="1">
        <f>AVERAGE(C149:E149)</f>
        <v>2.9966666666666666</v>
      </c>
      <c r="G149" s="2">
        <f>_xlfn.STDEV.P(C149:E149)</f>
        <v>3.2998316455372143E-2</v>
      </c>
    </row>
    <row r="150" spans="1:7" x14ac:dyDescent="0.25">
      <c r="A150" s="169"/>
      <c r="B150" s="95" t="s">
        <v>112</v>
      </c>
      <c r="C150" s="97">
        <v>2.85</v>
      </c>
      <c r="D150" s="97">
        <v>2.87</v>
      </c>
      <c r="E150" s="97">
        <v>2.97</v>
      </c>
      <c r="F150" s="1">
        <f>AVERAGE(C150:E150)</f>
        <v>2.8966666666666669</v>
      </c>
      <c r="G150" s="2">
        <f>_xlfn.STDEV.P(C150:E150)</f>
        <v>5.2493385826745453E-2</v>
      </c>
    </row>
    <row r="151" spans="1:7" ht="15.75" thickBot="1" x14ac:dyDescent="0.3">
      <c r="A151" s="170"/>
      <c r="B151" s="96" t="s">
        <v>113</v>
      </c>
      <c r="C151" s="97">
        <v>3.09</v>
      </c>
      <c r="D151" s="97">
        <v>3.11</v>
      </c>
      <c r="E151" s="97">
        <v>3.19</v>
      </c>
      <c r="F151" s="1">
        <f>AVERAGE(C151:E151)</f>
        <v>3.1299999999999994</v>
      </c>
      <c r="G151" s="2">
        <f>_xlfn.STDEV.P(C151:E151)</f>
        <v>4.3204937989385774E-2</v>
      </c>
    </row>
  </sheetData>
  <mergeCells count="11">
    <mergeCell ref="A81:A92"/>
    <mergeCell ref="A1:A30"/>
    <mergeCell ref="A33:A44"/>
    <mergeCell ref="A45:A56"/>
    <mergeCell ref="A57:A67"/>
    <mergeCell ref="A68:A78"/>
    <mergeCell ref="A148:A151"/>
    <mergeCell ref="A137:A146"/>
    <mergeCell ref="A93:A104"/>
    <mergeCell ref="A111:A122"/>
    <mergeCell ref="A123:A1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1"/>
  <sheetViews>
    <sheetView zoomScale="85" zoomScaleNormal="85" workbookViewId="0">
      <pane ySplit="1" topLeftCell="A150" activePane="bottomLeft" state="frozen"/>
      <selection pane="bottomLeft" activeCell="B170" sqref="B170"/>
    </sheetView>
  </sheetViews>
  <sheetFormatPr defaultRowHeight="15" x14ac:dyDescent="0.25"/>
  <cols>
    <col min="1" max="1" width="14.28515625" customWidth="1"/>
    <col min="2" max="2" width="43.140625" style="27" customWidth="1"/>
    <col min="3" max="3" width="17.7109375" bestFit="1" customWidth="1"/>
    <col min="4" max="5" width="15.2851562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t="s">
        <v>134</v>
      </c>
      <c r="D1" t="s">
        <v>135</v>
      </c>
      <c r="E1" t="s">
        <v>136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</v>
      </c>
      <c r="D5" s="8">
        <v>0.9</v>
      </c>
      <c r="E5" s="8">
        <v>0.8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t="s">
        <v>137</v>
      </c>
      <c r="D8" t="s">
        <v>138</v>
      </c>
      <c r="E8" t="s">
        <v>139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>
        <v>2.6828899999999999E-2</v>
      </c>
      <c r="D12">
        <v>2.6982200000000001E-2</v>
      </c>
      <c r="E12">
        <v>2.6398499999999998E-2</v>
      </c>
      <c r="F12" s="1">
        <f t="shared" ref="F12:F25" si="0">AVERAGE(C12:E12)</f>
        <v>2.673653333333333E-2</v>
      </c>
      <c r="G12" s="2">
        <f t="shared" ref="G12:G25" si="1">_xlfn.STDEV.P(C12:E12)</f>
        <v>2.4708314839790827E-4</v>
      </c>
    </row>
    <row r="13" spans="1:7" x14ac:dyDescent="0.25">
      <c r="A13" s="164"/>
      <c r="B13" s="21" t="s">
        <v>49</v>
      </c>
      <c r="C13">
        <v>60</v>
      </c>
      <c r="D13">
        <v>60</v>
      </c>
      <c r="E13">
        <v>58</v>
      </c>
      <c r="F13" s="1">
        <f t="shared" si="0"/>
        <v>59.333333333333336</v>
      </c>
      <c r="G13" s="2">
        <f t="shared" si="1"/>
        <v>0.94280904158206336</v>
      </c>
    </row>
    <row r="14" spans="1:7" x14ac:dyDescent="0.25">
      <c r="A14" s="164"/>
      <c r="B14" s="20" t="s">
        <v>50</v>
      </c>
      <c r="C14" s="61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63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 s="1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 s="1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2.1258899999999997E-2</v>
      </c>
      <c r="D18" s="11">
        <f>D12-D14</f>
        <v>2.1412199999999999E-2</v>
      </c>
      <c r="E18" s="11">
        <f>E12-E14</f>
        <v>2.08285E-2</v>
      </c>
      <c r="F18" s="1">
        <f t="shared" si="0"/>
        <v>2.1166533333333331E-2</v>
      </c>
      <c r="G18" s="2">
        <f t="shared" si="1"/>
        <v>2.4708314839790669E-4</v>
      </c>
    </row>
    <row r="19" spans="1:7" x14ac:dyDescent="0.25">
      <c r="A19" s="164"/>
      <c r="B19" s="23" t="s">
        <v>55</v>
      </c>
      <c r="C19" s="12">
        <f>C18*C10/100*C11</f>
        <v>3.3674097599999997</v>
      </c>
      <c r="D19" s="12">
        <f>D18*D10/100*D11</f>
        <v>3.3916924800000001</v>
      </c>
      <c r="E19" s="12">
        <f>E18*E10/100*E11</f>
        <v>3.2992344</v>
      </c>
      <c r="F19" s="1">
        <f t="shared" si="0"/>
        <v>3.3527788800000002</v>
      </c>
      <c r="G19" s="2">
        <f t="shared" si="1"/>
        <v>3.91379707062285E-2</v>
      </c>
    </row>
    <row r="20" spans="1:7" x14ac:dyDescent="0.25">
      <c r="A20" s="164"/>
      <c r="B20" s="23" t="s">
        <v>56</v>
      </c>
      <c r="C20" s="12">
        <f>C19/C16</f>
        <v>1.9584066662634398</v>
      </c>
      <c r="D20" s="12">
        <f t="shared" ref="D20:E20" si="2">D19/D16</f>
        <v>1.9725289276193045</v>
      </c>
      <c r="E20" s="12">
        <f t="shared" si="2"/>
        <v>1.9187574732591086</v>
      </c>
      <c r="F20" s="1">
        <f t="shared" si="0"/>
        <v>1.9498976890472843</v>
      </c>
      <c r="G20" s="2">
        <f t="shared" si="1"/>
        <v>2.2761727320972348E-2</v>
      </c>
    </row>
    <row r="21" spans="1:7" x14ac:dyDescent="0.25">
      <c r="A21" s="164"/>
      <c r="B21" s="22" t="s">
        <v>57</v>
      </c>
      <c r="C21" s="13">
        <f>C13-C15</f>
        <v>47</v>
      </c>
      <c r="D21" s="13">
        <f>D13-D15</f>
        <v>47</v>
      </c>
      <c r="E21" s="13">
        <f>E13-E15</f>
        <v>45</v>
      </c>
      <c r="F21" s="1">
        <f t="shared" si="0"/>
        <v>46.333333333333336</v>
      </c>
      <c r="G21" s="2">
        <f t="shared" si="1"/>
        <v>0.94280904158206336</v>
      </c>
    </row>
    <row r="22" spans="1:7" x14ac:dyDescent="0.25">
      <c r="A22" s="164"/>
      <c r="B22" s="22" t="s">
        <v>58</v>
      </c>
      <c r="C22" s="13">
        <f>C18/(C16/10^4)</f>
        <v>123.63678448632828</v>
      </c>
      <c r="D22" s="13">
        <f t="shared" ref="D22:E22" si="3">D18/(D16/10^4)</f>
        <v>124.52834139010761</v>
      </c>
      <c r="E22" s="13">
        <f t="shared" si="3"/>
        <v>121.13367886736798</v>
      </c>
      <c r="F22" s="1">
        <f t="shared" si="0"/>
        <v>123.09960158126796</v>
      </c>
      <c r="G22" s="2">
        <f t="shared" si="1"/>
        <v>1.4369777349098689</v>
      </c>
    </row>
    <row r="23" spans="1:7" x14ac:dyDescent="0.25">
      <c r="A23" s="164"/>
      <c r="B23" s="22" t="s">
        <v>59</v>
      </c>
      <c r="C23" s="13">
        <f>C18/C16/(C21/10^4)</f>
        <v>2.6305698826878356</v>
      </c>
      <c r="D23" s="13">
        <f t="shared" ref="D23:E23" si="4">D18/D16/(D21/10^4)</f>
        <v>2.6495391785129279</v>
      </c>
      <c r="E23" s="13">
        <f t="shared" si="4"/>
        <v>2.6918595303859552</v>
      </c>
      <c r="F23" s="1">
        <f t="shared" si="0"/>
        <v>2.6573228638622393</v>
      </c>
      <c r="G23" s="2">
        <f t="shared" si="1"/>
        <v>2.5619582965025259E-2</v>
      </c>
    </row>
    <row r="24" spans="1:7" x14ac:dyDescent="0.25">
      <c r="A24" s="164"/>
      <c r="B24" s="22" t="s">
        <v>60</v>
      </c>
      <c r="C24" s="13">
        <f>(1-C23/C17)*100</f>
        <v>40.9921515772132</v>
      </c>
      <c r="D24" s="13">
        <f t="shared" ref="D24:E24" si="5">(1-D23/D17)*100</f>
        <v>40.566640230755326</v>
      </c>
      <c r="E24" s="13">
        <f t="shared" si="5"/>
        <v>39.61732771677984</v>
      </c>
      <c r="F24" s="1">
        <f t="shared" si="0"/>
        <v>40.392039841582793</v>
      </c>
      <c r="G24" s="2">
        <f t="shared" si="1"/>
        <v>0.57468781886552533</v>
      </c>
    </row>
    <row r="25" spans="1:7" x14ac:dyDescent="0.25">
      <c r="A25" s="164"/>
      <c r="B25" s="24" t="s">
        <v>61</v>
      </c>
      <c r="C25" s="14">
        <f>(C18*C10)/100</f>
        <v>2.0408543999999997E-2</v>
      </c>
      <c r="D25" s="14">
        <f>(D18*D10)/100</f>
        <v>2.0555712E-2</v>
      </c>
      <c r="E25" s="14">
        <f>(E18*E10)/100</f>
        <v>1.999536E-2</v>
      </c>
      <c r="F25" s="1">
        <f t="shared" si="0"/>
        <v>2.0319871999999999E-2</v>
      </c>
      <c r="G25" s="2">
        <f t="shared" si="1"/>
        <v>2.3719982246199055E-4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140</v>
      </c>
      <c r="D28" t="s">
        <v>141</v>
      </c>
      <c r="E28" t="s">
        <v>66</v>
      </c>
    </row>
    <row r="29" spans="1:7" x14ac:dyDescent="0.25">
      <c r="A29" s="164"/>
      <c r="B29" s="18" t="s">
        <v>67</v>
      </c>
      <c r="C29" t="s">
        <v>142</v>
      </c>
      <c r="D29" t="s">
        <v>143</v>
      </c>
      <c r="E29" t="s">
        <v>144</v>
      </c>
    </row>
    <row r="30" spans="1:7" x14ac:dyDescent="0.25">
      <c r="A30" s="164"/>
      <c r="B30" s="25" t="s">
        <v>71</v>
      </c>
      <c r="C30">
        <v>3.27</v>
      </c>
      <c r="D30">
        <v>3.206</v>
      </c>
      <c r="E30">
        <v>3.3010000000000002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3.6563615</v>
      </c>
      <c r="D33" s="77">
        <v>3.7136075900000001</v>
      </c>
      <c r="E33" s="109">
        <v>3.6600417900000002</v>
      </c>
      <c r="F33" s="1">
        <f t="shared" ref="F33:F78" si="6">AVERAGE(C33:E33)</f>
        <v>3.6766702933333328</v>
      </c>
      <c r="G33" s="2">
        <f t="shared" ref="G33:G78" si="7">_xlfn.STDEV.P(C33:E33)</f>
        <v>2.6161792081864119E-2</v>
      </c>
    </row>
    <row r="34" spans="1:7" x14ac:dyDescent="0.25">
      <c r="A34" s="166"/>
      <c r="B34" s="29" t="s">
        <v>74</v>
      </c>
      <c r="C34" s="78">
        <v>3.4341330299999999</v>
      </c>
      <c r="D34" s="80">
        <v>3.4558403900000001</v>
      </c>
      <c r="E34" s="110">
        <v>3.3254299</v>
      </c>
      <c r="F34" s="1">
        <f t="shared" si="6"/>
        <v>3.4051344399999999</v>
      </c>
      <c r="G34" s="2">
        <f t="shared" si="7"/>
        <v>5.7052096905670924E-2</v>
      </c>
    </row>
    <row r="35" spans="1:7" x14ac:dyDescent="0.25">
      <c r="A35" s="166"/>
      <c r="B35" s="29" t="s">
        <v>75</v>
      </c>
      <c r="C35" s="78">
        <v>3.2728619399999999</v>
      </c>
      <c r="D35" s="80">
        <v>3.2973910399999999</v>
      </c>
      <c r="E35" s="110">
        <v>3.1729591500000001</v>
      </c>
      <c r="F35" s="1">
        <f t="shared" si="6"/>
        <v>3.2477373766666666</v>
      </c>
      <c r="G35" s="2">
        <f t="shared" si="7"/>
        <v>5.3816085416047765E-2</v>
      </c>
    </row>
    <row r="36" spans="1:7" x14ac:dyDescent="0.25">
      <c r="A36" s="166"/>
      <c r="B36" s="29" t="s">
        <v>76</v>
      </c>
      <c r="C36" s="78">
        <v>3.2876103400000001</v>
      </c>
      <c r="D36" s="80">
        <v>3.3143008799999998</v>
      </c>
      <c r="E36" s="110">
        <v>3.1887306799999999</v>
      </c>
      <c r="F36" s="1">
        <f t="shared" si="6"/>
        <v>3.2635473000000004</v>
      </c>
      <c r="G36" s="2">
        <f t="shared" si="7"/>
        <v>5.4013832811859078E-2</v>
      </c>
    </row>
    <row r="37" spans="1:7" x14ac:dyDescent="0.25">
      <c r="A37" s="166"/>
      <c r="B37" s="29" t="s">
        <v>77</v>
      </c>
      <c r="C37" s="78">
        <v>3.2981735300000001</v>
      </c>
      <c r="D37" s="80">
        <v>3.32490839</v>
      </c>
      <c r="E37" s="110">
        <v>3.2002035499999999</v>
      </c>
      <c r="F37" s="1">
        <f t="shared" si="6"/>
        <v>3.27442849</v>
      </c>
      <c r="G37" s="2">
        <f t="shared" si="7"/>
        <v>5.3607800883252142E-2</v>
      </c>
    </row>
    <row r="38" spans="1:7" x14ac:dyDescent="0.25">
      <c r="A38" s="166"/>
      <c r="B38" s="29" t="s">
        <v>78</v>
      </c>
      <c r="C38" s="78">
        <v>3.3075135200000001</v>
      </c>
      <c r="D38" s="80">
        <v>3.3345560399999998</v>
      </c>
      <c r="E38" s="110">
        <v>3.2085059199999999</v>
      </c>
      <c r="F38" s="1">
        <f t="shared" si="6"/>
        <v>3.2835251599999999</v>
      </c>
      <c r="G38" s="2">
        <f t="shared" si="7"/>
        <v>5.4183264634145731E-2</v>
      </c>
    </row>
    <row r="39" spans="1:7" x14ac:dyDescent="0.25">
      <c r="A39" s="166"/>
      <c r="B39" s="29" t="s">
        <v>79</v>
      </c>
      <c r="C39" s="78">
        <v>3.33096535</v>
      </c>
      <c r="D39" s="80">
        <v>3.3587183399999998</v>
      </c>
      <c r="E39" s="110">
        <v>3.2330224799999998</v>
      </c>
      <c r="F39" s="1">
        <f t="shared" si="6"/>
        <v>3.3075687233333331</v>
      </c>
      <c r="G39" s="2">
        <f t="shared" si="7"/>
        <v>5.3916070021342362E-2</v>
      </c>
    </row>
    <row r="40" spans="1:7" x14ac:dyDescent="0.25">
      <c r="A40" s="166"/>
      <c r="B40" s="29" t="s">
        <v>80</v>
      </c>
      <c r="C40" s="78">
        <v>3.3232320500000001</v>
      </c>
      <c r="D40" s="80">
        <v>3.3504958199999999</v>
      </c>
      <c r="E40" s="110">
        <v>3.2227057399999999</v>
      </c>
      <c r="F40" s="1">
        <f t="shared" si="6"/>
        <v>3.2988112033333334</v>
      </c>
      <c r="G40" s="2">
        <f t="shared" si="7"/>
        <v>5.4953674129756727E-2</v>
      </c>
    </row>
    <row r="41" spans="1:7" x14ac:dyDescent="0.25">
      <c r="A41" s="166"/>
      <c r="B41" s="29" t="s">
        <v>80</v>
      </c>
      <c r="C41" s="78">
        <v>3.1946518199999998</v>
      </c>
      <c r="D41" s="80">
        <v>3.2191205799999998</v>
      </c>
      <c r="E41" s="110">
        <v>3.0881890200000002</v>
      </c>
      <c r="F41" s="1">
        <f t="shared" si="6"/>
        <v>3.1673204733333331</v>
      </c>
      <c r="G41" s="2">
        <f t="shared" si="7"/>
        <v>5.6839072441226574E-2</v>
      </c>
    </row>
    <row r="42" spans="1:7" x14ac:dyDescent="0.25">
      <c r="A42" s="166"/>
      <c r="B42" s="29" t="s">
        <v>80</v>
      </c>
      <c r="C42" s="78">
        <v>3.0738200899999999</v>
      </c>
      <c r="D42" s="80">
        <v>3.0900064399999998</v>
      </c>
      <c r="E42" s="110">
        <v>2.9702387799999999</v>
      </c>
      <c r="F42" s="1">
        <f t="shared" si="6"/>
        <v>3.0446884366666667</v>
      </c>
      <c r="G42" s="2">
        <f t="shared" si="7"/>
        <v>5.305696947570622E-2</v>
      </c>
    </row>
    <row r="43" spans="1:7" x14ac:dyDescent="0.25">
      <c r="A43" s="166"/>
      <c r="B43" s="29" t="s">
        <v>80</v>
      </c>
      <c r="C43" s="78">
        <v>2.85277183</v>
      </c>
      <c r="D43" s="80">
        <v>2.73944886</v>
      </c>
      <c r="E43" s="110">
        <v>2.63778142</v>
      </c>
      <c r="F43" s="1">
        <f t="shared" si="6"/>
        <v>2.7433340366666665</v>
      </c>
      <c r="G43" s="2">
        <f t="shared" si="7"/>
        <v>8.7812451836439195E-2</v>
      </c>
    </row>
    <row r="44" spans="1:7" ht="15.75" thickBot="1" x14ac:dyDescent="0.3">
      <c r="A44" s="167"/>
      <c r="B44" s="30" t="s">
        <v>80</v>
      </c>
      <c r="C44" s="81">
        <v>2.51921697</v>
      </c>
      <c r="D44" s="83">
        <v>2.4780365400000002</v>
      </c>
      <c r="E44" s="111">
        <v>2.3626264699999999</v>
      </c>
      <c r="F44" s="1">
        <f t="shared" si="6"/>
        <v>2.453293326666667</v>
      </c>
      <c r="G44" s="2">
        <f t="shared" si="7"/>
        <v>6.6278785580840993E-2</v>
      </c>
    </row>
    <row r="45" spans="1:7" ht="15.75" thickTop="1" x14ac:dyDescent="0.25">
      <c r="A45" s="165" t="s">
        <v>81</v>
      </c>
      <c r="B45" s="28" t="s">
        <v>73</v>
      </c>
      <c r="C45" s="78">
        <v>3.3235251300000002</v>
      </c>
      <c r="D45" s="80">
        <v>3.3781805199999999</v>
      </c>
      <c r="E45" s="110">
        <v>3.3099719400000001</v>
      </c>
      <c r="F45" s="1">
        <f t="shared" si="6"/>
        <v>3.3372258633333334</v>
      </c>
      <c r="G45" s="2">
        <f t="shared" si="7"/>
        <v>2.948316092062751E-2</v>
      </c>
    </row>
    <row r="46" spans="1:7" x14ac:dyDescent="0.25">
      <c r="A46" s="166"/>
      <c r="B46" s="29" t="s">
        <v>74</v>
      </c>
      <c r="C46" s="78">
        <v>3.25809192</v>
      </c>
      <c r="D46" s="80">
        <v>3.2801708999999999</v>
      </c>
      <c r="E46" s="110">
        <v>3.1657164099999999</v>
      </c>
      <c r="F46" s="1">
        <f t="shared" si="6"/>
        <v>3.2346597433333333</v>
      </c>
      <c r="G46" s="2">
        <f t="shared" si="7"/>
        <v>4.9576592244011244E-2</v>
      </c>
    </row>
    <row r="47" spans="1:7" x14ac:dyDescent="0.25">
      <c r="A47" s="166"/>
      <c r="B47" s="29" t="s">
        <v>75</v>
      </c>
      <c r="C47" s="78">
        <v>3.2748721999999999</v>
      </c>
      <c r="D47" s="80">
        <v>3.30167666</v>
      </c>
      <c r="E47" s="110">
        <v>3.18097801</v>
      </c>
      <c r="F47" s="1">
        <f t="shared" si="6"/>
        <v>3.2525089566666665</v>
      </c>
      <c r="G47" s="2">
        <f t="shared" si="7"/>
        <v>5.1750214281327901E-2</v>
      </c>
    </row>
    <row r="48" spans="1:7" x14ac:dyDescent="0.25">
      <c r="A48" s="166"/>
      <c r="B48" s="29" t="s">
        <v>76</v>
      </c>
      <c r="C48" s="78">
        <v>3.2860272500000001</v>
      </c>
      <c r="D48" s="80">
        <v>3.31322903</v>
      </c>
      <c r="E48" s="110">
        <v>3.1929335999999999</v>
      </c>
      <c r="F48" s="1">
        <f t="shared" si="6"/>
        <v>3.2640632933333333</v>
      </c>
      <c r="G48" s="2">
        <f t="shared" si="7"/>
        <v>5.1507663922065294E-2</v>
      </c>
    </row>
    <row r="49" spans="1:7" x14ac:dyDescent="0.25">
      <c r="A49" s="166"/>
      <c r="B49" s="29" t="s">
        <v>77</v>
      </c>
      <c r="C49" s="78">
        <v>3.2956455999999998</v>
      </c>
      <c r="D49" s="80">
        <v>3.3231134299999998</v>
      </c>
      <c r="E49" s="110">
        <v>3.2016809099999999</v>
      </c>
      <c r="F49" s="1">
        <f t="shared" si="6"/>
        <v>3.2734799799999998</v>
      </c>
      <c r="G49" s="2">
        <f t="shared" si="7"/>
        <v>5.1993270467602479E-2</v>
      </c>
    </row>
    <row r="50" spans="1:7" x14ac:dyDescent="0.25">
      <c r="A50" s="166"/>
      <c r="B50" s="29" t="s">
        <v>78</v>
      </c>
      <c r="C50" s="78">
        <v>3.30372143</v>
      </c>
      <c r="D50" s="80">
        <v>3.3316574399999999</v>
      </c>
      <c r="E50" s="110">
        <v>3.2090169400000002</v>
      </c>
      <c r="F50" s="1">
        <f t="shared" si="6"/>
        <v>3.28146527</v>
      </c>
      <c r="G50" s="2">
        <f t="shared" si="7"/>
        <v>5.2482857858680433E-2</v>
      </c>
    </row>
    <row r="51" spans="1:7" x14ac:dyDescent="0.25">
      <c r="A51" s="166"/>
      <c r="B51" s="29" t="s">
        <v>79</v>
      </c>
      <c r="C51" s="78">
        <v>3.32481911</v>
      </c>
      <c r="D51" s="80">
        <v>3.3528220900000001</v>
      </c>
      <c r="E51" s="110">
        <v>3.2316093100000001</v>
      </c>
      <c r="F51" s="1">
        <f t="shared" si="6"/>
        <v>3.3030835033333332</v>
      </c>
      <c r="G51" s="2">
        <f t="shared" si="7"/>
        <v>5.1816740902969005E-2</v>
      </c>
    </row>
    <row r="52" spans="1:7" x14ac:dyDescent="0.25">
      <c r="A52" s="166"/>
      <c r="B52" s="29" t="s">
        <v>82</v>
      </c>
      <c r="C52" s="78">
        <v>3.1773629200000002</v>
      </c>
      <c r="D52" s="80">
        <v>3.2031602100000001</v>
      </c>
      <c r="E52" s="110">
        <v>3.0836024100000001</v>
      </c>
      <c r="F52" s="1">
        <f t="shared" si="6"/>
        <v>3.1547085133333339</v>
      </c>
      <c r="G52" s="2">
        <f t="shared" si="7"/>
        <v>5.1370766597836112E-2</v>
      </c>
    </row>
    <row r="53" spans="1:7" x14ac:dyDescent="0.25">
      <c r="A53" s="166"/>
      <c r="B53" s="29" t="s">
        <v>83</v>
      </c>
      <c r="C53" s="78">
        <v>3.0621984599999998</v>
      </c>
      <c r="D53" s="80">
        <v>3.0795023399999999</v>
      </c>
      <c r="E53" s="110">
        <v>2.9660662100000001</v>
      </c>
      <c r="F53" s="1">
        <f t="shared" si="6"/>
        <v>3.0359223366666668</v>
      </c>
      <c r="G53" s="2">
        <f t="shared" si="7"/>
        <v>4.9898329233322797E-2</v>
      </c>
    </row>
    <row r="54" spans="1:7" x14ac:dyDescent="0.25">
      <c r="A54" s="166"/>
      <c r="B54" s="29" t="s">
        <v>84</v>
      </c>
      <c r="C54" s="78">
        <v>2.8813593000000002</v>
      </c>
      <c r="D54" s="80">
        <v>2.8714912500000001</v>
      </c>
      <c r="E54" s="110">
        <v>2.8122096399999998</v>
      </c>
      <c r="F54" s="1">
        <f t="shared" si="6"/>
        <v>2.8550200633333334</v>
      </c>
      <c r="G54" s="2">
        <f t="shared" si="7"/>
        <v>3.0538433295166988E-2</v>
      </c>
    </row>
    <row r="55" spans="1:7" x14ac:dyDescent="0.25">
      <c r="A55" s="166"/>
      <c r="B55" s="29" t="s">
        <v>85</v>
      </c>
      <c r="C55" s="78">
        <v>2.49467171</v>
      </c>
      <c r="D55" s="80">
        <v>2.46736902</v>
      </c>
      <c r="E55" s="110">
        <v>2.3601609200000002</v>
      </c>
      <c r="F55" s="1">
        <f t="shared" si="6"/>
        <v>2.4407338833333334</v>
      </c>
      <c r="G55" s="2">
        <f t="shared" si="7"/>
        <v>5.8053774126781317E-2</v>
      </c>
    </row>
    <row r="56" spans="1:7" ht="15.75" thickBot="1" x14ac:dyDescent="0.3">
      <c r="A56" s="167"/>
      <c r="B56" s="30" t="s">
        <v>86</v>
      </c>
      <c r="C56" s="81">
        <v>1.3922443799999999</v>
      </c>
      <c r="D56" s="83">
        <v>1.2855921400000001</v>
      </c>
      <c r="E56" s="111">
        <v>0.93504944000000001</v>
      </c>
      <c r="F56" s="1">
        <f t="shared" si="6"/>
        <v>1.2042953199999999</v>
      </c>
      <c r="G56" s="2">
        <f t="shared" si="7"/>
        <v>0.19530093530580858</v>
      </c>
    </row>
    <row r="57" spans="1:7" ht="15.75" thickTop="1" x14ac:dyDescent="0.25">
      <c r="A57" s="165" t="s">
        <v>87</v>
      </c>
      <c r="B57" s="31">
        <v>0.9</v>
      </c>
      <c r="C57" s="84">
        <v>28.505301299999999</v>
      </c>
      <c r="D57" s="86">
        <v>27.5647798</v>
      </c>
      <c r="E57" s="112">
        <v>61.522494199999997</v>
      </c>
      <c r="F57" s="1">
        <f t="shared" si="6"/>
        <v>39.1975251</v>
      </c>
      <c r="G57" s="2">
        <f t="shared" si="7"/>
        <v>15.790805957053131</v>
      </c>
    </row>
    <row r="58" spans="1:7" x14ac:dyDescent="0.25">
      <c r="A58" s="166"/>
      <c r="B58" s="32">
        <v>0.8</v>
      </c>
      <c r="C58" s="87">
        <v>29.201949200000001</v>
      </c>
      <c r="D58" s="89">
        <v>28.6859875</v>
      </c>
      <c r="E58" s="113">
        <v>63.577161799999999</v>
      </c>
      <c r="F58" s="1">
        <f t="shared" si="6"/>
        <v>40.488366166666665</v>
      </c>
      <c r="G58" s="2">
        <f t="shared" si="7"/>
        <v>16.327602742336698</v>
      </c>
    </row>
    <row r="59" spans="1:7" x14ac:dyDescent="0.25">
      <c r="A59" s="166"/>
      <c r="B59" s="32">
        <v>0.7</v>
      </c>
      <c r="C59" s="78">
        <v>30.424550799999999</v>
      </c>
      <c r="D59" s="80">
        <v>29.763724</v>
      </c>
      <c r="E59" s="114">
        <v>65.156666900000005</v>
      </c>
      <c r="F59" s="1">
        <f t="shared" si="6"/>
        <v>41.781647233333338</v>
      </c>
      <c r="G59" s="2">
        <f t="shared" si="7"/>
        <v>16.530836464573099</v>
      </c>
    </row>
    <row r="60" spans="1:7" x14ac:dyDescent="0.25">
      <c r="A60" s="166"/>
      <c r="B60" s="32">
        <v>0.6</v>
      </c>
      <c r="C60" s="78">
        <v>32.1559618</v>
      </c>
      <c r="D60" s="80">
        <v>31.954581099999999</v>
      </c>
      <c r="E60" s="114">
        <v>68.446780899999993</v>
      </c>
      <c r="F60" s="1">
        <f t="shared" si="6"/>
        <v>44.185774600000002</v>
      </c>
      <c r="G60" s="2">
        <f t="shared" si="7"/>
        <v>17.15531906947157</v>
      </c>
    </row>
    <row r="61" spans="1:7" x14ac:dyDescent="0.25">
      <c r="A61" s="166"/>
      <c r="B61" s="32">
        <v>0.5</v>
      </c>
      <c r="C61" s="78">
        <v>35.630900400000002</v>
      </c>
      <c r="D61" s="80">
        <v>35.555270499999999</v>
      </c>
      <c r="E61" s="114">
        <v>74.514773700000006</v>
      </c>
      <c r="F61" s="1">
        <f t="shared" si="6"/>
        <v>48.56698153333334</v>
      </c>
      <c r="G61" s="2">
        <f t="shared" si="7"/>
        <v>18.347885776728965</v>
      </c>
    </row>
    <row r="62" spans="1:7" x14ac:dyDescent="0.25">
      <c r="A62" s="166"/>
      <c r="B62" s="32">
        <v>0.4</v>
      </c>
      <c r="C62" s="78">
        <v>43.330269199999996</v>
      </c>
      <c r="D62" s="80">
        <v>43.615827899999999</v>
      </c>
      <c r="E62" s="114">
        <v>84.571586999999994</v>
      </c>
      <c r="F62" s="1">
        <f t="shared" si="6"/>
        <v>57.172561366666663</v>
      </c>
      <c r="G62" s="2">
        <f t="shared" si="7"/>
        <v>19.37438756339289</v>
      </c>
    </row>
    <row r="63" spans="1:7" x14ac:dyDescent="0.25">
      <c r="A63" s="166"/>
      <c r="B63" s="32">
        <v>0.3</v>
      </c>
      <c r="C63" s="78">
        <v>70.346124399999994</v>
      </c>
      <c r="D63" s="80">
        <v>78.650700400000005</v>
      </c>
      <c r="E63" s="114">
        <v>104.18454199999999</v>
      </c>
      <c r="F63" s="1">
        <f t="shared" si="6"/>
        <v>84.39378893333334</v>
      </c>
      <c r="G63" s="2">
        <f t="shared" si="7"/>
        <v>14.39900287853928</v>
      </c>
    </row>
    <row r="64" spans="1:7" x14ac:dyDescent="0.25">
      <c r="A64" s="166"/>
      <c r="B64" s="32">
        <v>0.2</v>
      </c>
      <c r="C64" s="78">
        <v>106.37756400000001</v>
      </c>
      <c r="D64" s="80">
        <v>100.80096399999999</v>
      </c>
      <c r="E64" s="114">
        <v>129.55387099999999</v>
      </c>
      <c r="F64" s="1">
        <f t="shared" si="6"/>
        <v>112.24413299999999</v>
      </c>
      <c r="G64" s="2">
        <f t="shared" si="7"/>
        <v>12.449762758421844</v>
      </c>
    </row>
    <row r="65" spans="1:7" x14ac:dyDescent="0.25">
      <c r="A65" s="166"/>
      <c r="B65" s="32">
        <v>0.1</v>
      </c>
      <c r="C65" s="78">
        <v>111.29625900000001</v>
      </c>
      <c r="D65" s="80">
        <v>106.250546</v>
      </c>
      <c r="E65" s="114">
        <v>140.39369300000001</v>
      </c>
      <c r="F65" s="1">
        <f t="shared" si="6"/>
        <v>119.31349933333335</v>
      </c>
      <c r="G65" s="2">
        <f t="shared" si="7"/>
        <v>15.047607311191081</v>
      </c>
    </row>
    <row r="66" spans="1:7" x14ac:dyDescent="0.25">
      <c r="A66" s="166"/>
      <c r="B66" s="32">
        <v>0.5</v>
      </c>
      <c r="C66" s="78">
        <v>28.4092132</v>
      </c>
      <c r="D66" s="80">
        <v>27.210367099999999</v>
      </c>
      <c r="E66" s="114">
        <v>63.758350499999999</v>
      </c>
      <c r="F66" s="1">
        <f t="shared" si="6"/>
        <v>39.792643599999998</v>
      </c>
      <c r="G66" s="2">
        <f t="shared" si="7"/>
        <v>16.953379965961599</v>
      </c>
    </row>
    <row r="67" spans="1:7" ht="15.75" thickBot="1" x14ac:dyDescent="0.3">
      <c r="A67" s="167"/>
      <c r="B67" s="33">
        <v>0.2</v>
      </c>
      <c r="C67" s="81">
        <v>52.004176800000003</v>
      </c>
      <c r="D67" s="83">
        <v>49.711928800000003</v>
      </c>
      <c r="E67" s="115">
        <v>92.640964100000005</v>
      </c>
      <c r="F67" s="1">
        <f t="shared" si="6"/>
        <v>64.785689900000008</v>
      </c>
      <c r="G67" s="2">
        <f t="shared" si="7"/>
        <v>19.718871262342674</v>
      </c>
    </row>
    <row r="68" spans="1:7" ht="15.75" thickTop="1" x14ac:dyDescent="0.25">
      <c r="A68" s="165" t="s">
        <v>88</v>
      </c>
      <c r="B68" s="31">
        <v>0.9</v>
      </c>
      <c r="C68" s="78">
        <v>29.108531599999999</v>
      </c>
      <c r="D68" s="80">
        <v>28.191400000000002</v>
      </c>
      <c r="E68" s="114">
        <v>63.486565499999998</v>
      </c>
      <c r="F68" s="1">
        <f t="shared" si="6"/>
        <v>40.262165699999997</v>
      </c>
      <c r="G68" s="2">
        <f t="shared" si="7"/>
        <v>16.426398309745398</v>
      </c>
    </row>
    <row r="69" spans="1:7" x14ac:dyDescent="0.25">
      <c r="A69" s="166"/>
      <c r="B69" s="32">
        <v>0.8</v>
      </c>
      <c r="C69" s="78">
        <v>29.949915300000001</v>
      </c>
      <c r="D69" s="80">
        <v>29.392775400000001</v>
      </c>
      <c r="E69" s="114">
        <v>65.734907699999994</v>
      </c>
      <c r="F69" s="1">
        <f t="shared" si="6"/>
        <v>41.692532800000002</v>
      </c>
      <c r="G69" s="2">
        <f t="shared" si="7"/>
        <v>17.002047804919563</v>
      </c>
    </row>
    <row r="70" spans="1:7" x14ac:dyDescent="0.25">
      <c r="A70" s="166"/>
      <c r="B70" s="32">
        <v>0.7</v>
      </c>
      <c r="C70" s="78">
        <v>31.068670699999998</v>
      </c>
      <c r="D70" s="80">
        <v>30.389802499999998</v>
      </c>
      <c r="E70" s="114">
        <v>67.549902799999998</v>
      </c>
      <c r="F70" s="1">
        <f t="shared" si="6"/>
        <v>43.002791999999999</v>
      </c>
      <c r="G70" s="2">
        <f t="shared" si="7"/>
        <v>17.359640971303715</v>
      </c>
    </row>
    <row r="71" spans="1:7" x14ac:dyDescent="0.25">
      <c r="A71" s="166"/>
      <c r="B71" s="32">
        <v>0.6</v>
      </c>
      <c r="C71" s="78">
        <v>32.983521400000001</v>
      </c>
      <c r="D71" s="80">
        <v>32.8004222</v>
      </c>
      <c r="E71" s="114">
        <v>71.409916999999993</v>
      </c>
      <c r="F71" s="1">
        <f t="shared" si="6"/>
        <v>45.731286866666665</v>
      </c>
      <c r="G71" s="2">
        <f t="shared" si="7"/>
        <v>18.157687361420994</v>
      </c>
    </row>
    <row r="72" spans="1:7" x14ac:dyDescent="0.25">
      <c r="A72" s="166"/>
      <c r="B72" s="32">
        <v>0.5</v>
      </c>
      <c r="C72" s="78">
        <v>36.746572700000002</v>
      </c>
      <c r="D72" s="80">
        <v>36.708486299999997</v>
      </c>
      <c r="E72" s="114">
        <v>78.205646299999998</v>
      </c>
      <c r="F72" s="1">
        <f t="shared" si="6"/>
        <v>50.553568433333339</v>
      </c>
      <c r="G72" s="2">
        <f t="shared" si="7"/>
        <v>19.552977955656988</v>
      </c>
    </row>
    <row r="73" spans="1:7" x14ac:dyDescent="0.25">
      <c r="A73" s="166"/>
      <c r="B73" s="32">
        <v>0.4</v>
      </c>
      <c r="C73" s="78">
        <v>45.062093699999998</v>
      </c>
      <c r="D73" s="80">
        <v>45.5385682</v>
      </c>
      <c r="E73" s="114">
        <v>88.945224199999998</v>
      </c>
      <c r="F73" s="1">
        <f t="shared" si="6"/>
        <v>59.848628700000006</v>
      </c>
      <c r="G73" s="2">
        <f t="shared" si="7"/>
        <v>20.575319507527322</v>
      </c>
    </row>
    <row r="74" spans="1:7" x14ac:dyDescent="0.25">
      <c r="A74" s="166"/>
      <c r="B74" s="32">
        <v>0.3</v>
      </c>
      <c r="C74" s="78">
        <v>73.200984700000006</v>
      </c>
      <c r="D74" s="80">
        <v>80.290898799999994</v>
      </c>
      <c r="E74" s="114">
        <v>108.405585</v>
      </c>
      <c r="F74" s="1">
        <f t="shared" si="6"/>
        <v>87.299156166666663</v>
      </c>
      <c r="G74" s="2">
        <f t="shared" si="7"/>
        <v>15.202581448748958</v>
      </c>
    </row>
    <row r="75" spans="1:7" x14ac:dyDescent="0.25">
      <c r="A75" s="166"/>
      <c r="B75" s="32">
        <v>0.2</v>
      </c>
      <c r="C75" s="78">
        <v>104.993511</v>
      </c>
      <c r="D75" s="80">
        <v>99.112318900000005</v>
      </c>
      <c r="E75" s="114">
        <v>133.64178699999999</v>
      </c>
      <c r="F75" s="1">
        <f t="shared" si="6"/>
        <v>112.58253896666668</v>
      </c>
      <c r="G75" s="2">
        <f t="shared" si="7"/>
        <v>15.0834578468458</v>
      </c>
    </row>
    <row r="76" spans="1:7" x14ac:dyDescent="0.25">
      <c r="A76" s="166"/>
      <c r="B76" s="32">
        <v>0.1</v>
      </c>
      <c r="C76" s="78">
        <v>166.634365</v>
      </c>
      <c r="D76" s="80">
        <v>159.90394800000001</v>
      </c>
      <c r="E76" s="114">
        <v>218.39538300000001</v>
      </c>
      <c r="F76" s="1">
        <f t="shared" si="6"/>
        <v>181.64456533333336</v>
      </c>
      <c r="G76" s="2">
        <f t="shared" si="7"/>
        <v>26.131610202012734</v>
      </c>
    </row>
    <row r="77" spans="1:7" x14ac:dyDescent="0.25">
      <c r="A77" s="166"/>
      <c r="B77" s="32">
        <v>0.5</v>
      </c>
      <c r="C77" s="78">
        <v>28.789358100000001</v>
      </c>
      <c r="D77" s="80">
        <v>27.663377400000002</v>
      </c>
      <c r="E77" s="114">
        <v>65.986758800000004</v>
      </c>
      <c r="F77" s="1">
        <f t="shared" si="6"/>
        <v>40.813164766666667</v>
      </c>
      <c r="G77" s="2">
        <f t="shared" si="7"/>
        <v>17.806353464433226</v>
      </c>
    </row>
    <row r="78" spans="1:7" ht="15.75" thickBot="1" x14ac:dyDescent="0.3">
      <c r="A78" s="167"/>
      <c r="B78" s="33">
        <v>0.2</v>
      </c>
      <c r="C78" s="81">
        <v>61.396836999999998</v>
      </c>
      <c r="D78" s="83">
        <v>57.948427299999999</v>
      </c>
      <c r="E78" s="115">
        <v>106.250777</v>
      </c>
      <c r="F78" s="1">
        <f t="shared" si="6"/>
        <v>75.198680433333337</v>
      </c>
      <c r="G78" s="2">
        <f t="shared" si="7"/>
        <v>22.002233345033517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2.0408543999999997E-2</v>
      </c>
      <c r="D80">
        <f t="shared" ref="D80:E80" si="8">D25</f>
        <v>2.0555712E-2</v>
      </c>
      <c r="E80">
        <f t="shared" si="8"/>
        <v>1.999536E-2</v>
      </c>
      <c r="F80" s="1">
        <f t="shared" ref="F80:F104" si="9">AVERAGE(C80:E80)</f>
        <v>2.0319871999999999E-2</v>
      </c>
      <c r="G80" s="2">
        <f t="shared" ref="G80:G104" si="10">_xlfn.STDEV.P(C80:E80)</f>
        <v>2.3719982246199055E-4</v>
      </c>
    </row>
    <row r="81" spans="1:7" ht="15.75" thickTop="1" x14ac:dyDescent="0.25">
      <c r="A81" s="161" t="s">
        <v>90</v>
      </c>
      <c r="B81" s="38" t="s">
        <v>73</v>
      </c>
      <c r="C81">
        <f>C33/C80</f>
        <v>179.15837112142839</v>
      </c>
      <c r="D81">
        <f t="shared" ref="D81:E81" si="11">D33/D80</f>
        <v>180.66061589109634</v>
      </c>
      <c r="E81">
        <f t="shared" si="11"/>
        <v>183.04455583695417</v>
      </c>
      <c r="F81" s="1">
        <f t="shared" si="9"/>
        <v>180.95451428315963</v>
      </c>
      <c r="G81" s="2">
        <f t="shared" si="10"/>
        <v>1.6000812707358754</v>
      </c>
    </row>
    <row r="82" spans="1:7" x14ac:dyDescent="0.25">
      <c r="A82" s="162"/>
      <c r="B82" s="38" t="s">
        <v>74</v>
      </c>
      <c r="C82">
        <f>C34/C80</f>
        <v>168.26937923646099</v>
      </c>
      <c r="D82">
        <f t="shared" ref="D82:E82" si="12">D34/D80</f>
        <v>168.12068538418907</v>
      </c>
      <c r="E82">
        <f t="shared" si="12"/>
        <v>166.31007893831369</v>
      </c>
      <c r="F82" s="1">
        <f t="shared" si="9"/>
        <v>167.5667145196546</v>
      </c>
      <c r="G82" s="2">
        <f t="shared" si="10"/>
        <v>0.89064665782596331</v>
      </c>
    </row>
    <row r="83" spans="1:7" x14ac:dyDescent="0.25">
      <c r="A83" s="162"/>
      <c r="B83" s="38" t="s">
        <v>75</v>
      </c>
      <c r="C83">
        <f>C35/C80</f>
        <v>160.36724324870997</v>
      </c>
      <c r="D83">
        <f t="shared" ref="D83:E83" si="13">D35/D80</f>
        <v>160.41239729375465</v>
      </c>
      <c r="E83">
        <f t="shared" si="13"/>
        <v>158.6847723671892</v>
      </c>
      <c r="F83" s="1">
        <f t="shared" si="9"/>
        <v>159.82147096988459</v>
      </c>
      <c r="G83" s="2">
        <f t="shared" si="10"/>
        <v>0.80397865103216315</v>
      </c>
    </row>
    <row r="84" spans="1:7" x14ac:dyDescent="0.25">
      <c r="A84" s="162"/>
      <c r="B84" s="38" t="s">
        <v>76</v>
      </c>
      <c r="C84">
        <f>C36/C80</f>
        <v>161.08990136680012</v>
      </c>
      <c r="D84">
        <f t="shared" ref="D84:E84" si="14">D36/D80</f>
        <v>161.23503189770315</v>
      </c>
      <c r="E84">
        <f t="shared" si="14"/>
        <v>159.47353185939139</v>
      </c>
      <c r="F84" s="1">
        <f t="shared" si="9"/>
        <v>160.59948837463153</v>
      </c>
      <c r="G84" s="2">
        <f t="shared" si="10"/>
        <v>0.79837304288529343</v>
      </c>
    </row>
    <row r="85" spans="1:7" x14ac:dyDescent="0.25">
      <c r="A85" s="162"/>
      <c r="B85" s="38" t="s">
        <v>77</v>
      </c>
      <c r="C85">
        <f>C37/C80</f>
        <v>161.60748802070353</v>
      </c>
      <c r="D85">
        <f t="shared" ref="D85:E85" si="15">D37/D80</f>
        <v>161.75106899726947</v>
      </c>
      <c r="E85">
        <f t="shared" si="15"/>
        <v>160.04730847556633</v>
      </c>
      <c r="F85" s="1">
        <f t="shared" si="9"/>
        <v>161.13528849784643</v>
      </c>
      <c r="G85" s="2">
        <f t="shared" si="10"/>
        <v>0.77154791204365647</v>
      </c>
    </row>
    <row r="86" spans="1:7" x14ac:dyDescent="0.25">
      <c r="A86" s="162"/>
      <c r="B86" s="38" t="s">
        <v>78</v>
      </c>
      <c r="C86">
        <f>C38/C80</f>
        <v>162.06513899276698</v>
      </c>
      <c r="D86">
        <f t="shared" ref="D86:E86" si="16">D38/D80</f>
        <v>162.22041056033476</v>
      </c>
      <c r="E86">
        <f t="shared" si="16"/>
        <v>160.46252330540685</v>
      </c>
      <c r="F86" s="1">
        <f t="shared" si="9"/>
        <v>161.5826909528362</v>
      </c>
      <c r="G86" s="2">
        <f t="shared" si="10"/>
        <v>0.79461058961157605</v>
      </c>
    </row>
    <row r="87" spans="1:7" x14ac:dyDescent="0.25">
      <c r="A87" s="162"/>
      <c r="B87" s="38" t="s">
        <v>79</v>
      </c>
      <c r="C87">
        <f>C39/C80</f>
        <v>163.21425722481723</v>
      </c>
      <c r="D87">
        <f t="shared" ref="D87:E87" si="17">D39/D80</f>
        <v>163.39586485741773</v>
      </c>
      <c r="E87">
        <f t="shared" si="17"/>
        <v>161.68863576349713</v>
      </c>
      <c r="F87" s="1">
        <f t="shared" si="9"/>
        <v>162.76625261524404</v>
      </c>
      <c r="G87" s="2">
        <f t="shared" si="10"/>
        <v>0.76558861556816371</v>
      </c>
    </row>
    <row r="88" spans="1:7" x14ac:dyDescent="0.25">
      <c r="A88" s="162"/>
      <c r="B88" s="38" t="s">
        <v>80</v>
      </c>
      <c r="C88">
        <f>C40/C80</f>
        <v>162.83533259403515</v>
      </c>
      <c r="D88">
        <f t="shared" ref="D88:E88" si="18">D40/D80</f>
        <v>162.99585341534265</v>
      </c>
      <c r="E88">
        <f t="shared" si="18"/>
        <v>161.17267906154228</v>
      </c>
      <c r="F88" s="1">
        <f t="shared" si="9"/>
        <v>162.3346216903067</v>
      </c>
      <c r="G88" s="2">
        <f t="shared" si="10"/>
        <v>0.82422680451571217</v>
      </c>
    </row>
    <row r="89" spans="1:7" x14ac:dyDescent="0.25">
      <c r="A89" s="162"/>
      <c r="B89" s="38" t="s">
        <v>80</v>
      </c>
      <c r="C89">
        <f>C41/C80</f>
        <v>156.5350188626881</v>
      </c>
      <c r="D89">
        <f t="shared" ref="D89:E89" si="19">D41/D80</f>
        <v>156.60467416550688</v>
      </c>
      <c r="E89">
        <f t="shared" si="19"/>
        <v>154.44528230549489</v>
      </c>
      <c r="F89" s="1">
        <f t="shared" si="9"/>
        <v>155.86165844456329</v>
      </c>
      <c r="G89" s="2">
        <f t="shared" si="10"/>
        <v>1.0019327957484421</v>
      </c>
    </row>
    <row r="90" spans="1:7" x14ac:dyDescent="0.25">
      <c r="A90" s="162"/>
      <c r="B90" s="38" t="s">
        <v>80</v>
      </c>
      <c r="C90">
        <f>C42/C80</f>
        <v>150.61437454822845</v>
      </c>
      <c r="D90">
        <f t="shared" ref="D90:E90" si="20">D42/D80</f>
        <v>150.32349353795186</v>
      </c>
      <c r="E90">
        <f t="shared" si="20"/>
        <v>148.54640176520951</v>
      </c>
      <c r="F90" s="1">
        <f t="shared" si="9"/>
        <v>149.82808995046327</v>
      </c>
      <c r="G90" s="2">
        <f t="shared" si="10"/>
        <v>0.9140373419429505</v>
      </c>
    </row>
    <row r="91" spans="1:7" x14ac:dyDescent="0.25">
      <c r="A91" s="162"/>
      <c r="B91" s="38" t="s">
        <v>80</v>
      </c>
      <c r="C91">
        <f>C43/C80</f>
        <v>139.78321187439929</v>
      </c>
      <c r="D91">
        <f t="shared" ref="D91:E91" si="21">D43/D80</f>
        <v>133.26947079235202</v>
      </c>
      <c r="E91">
        <f t="shared" si="21"/>
        <v>131.91967636491665</v>
      </c>
      <c r="F91" s="1">
        <f t="shared" si="9"/>
        <v>134.99078634388931</v>
      </c>
      <c r="G91" s="2">
        <f t="shared" si="10"/>
        <v>3.4332679377134427</v>
      </c>
    </row>
    <row r="92" spans="1:7" ht="15.75" thickBot="1" x14ac:dyDescent="0.3">
      <c r="A92" s="163"/>
      <c r="B92" s="39" t="s">
        <v>80</v>
      </c>
      <c r="C92">
        <f>C44/C80</f>
        <v>123.4393286458848</v>
      </c>
      <c r="D92">
        <f t="shared" ref="D92:E92" si="22">D44/D80</f>
        <v>120.55221147289863</v>
      </c>
      <c r="E92">
        <f t="shared" si="22"/>
        <v>118.15873632682782</v>
      </c>
      <c r="F92" s="1">
        <f t="shared" si="9"/>
        <v>120.71675881520376</v>
      </c>
      <c r="G92" s="2">
        <f t="shared" si="10"/>
        <v>2.1589303958080177</v>
      </c>
    </row>
    <row r="93" spans="1:7" ht="15.75" thickTop="1" x14ac:dyDescent="0.25">
      <c r="A93" s="161" t="s">
        <v>91</v>
      </c>
      <c r="B93" s="40" t="s">
        <v>73</v>
      </c>
      <c r="C93">
        <f>C45/C80</f>
        <v>162.84969324612283</v>
      </c>
      <c r="D93">
        <f t="shared" ref="D93:E93" si="23">D45/D80</f>
        <v>164.342666408247</v>
      </c>
      <c r="E93">
        <f t="shared" si="23"/>
        <v>165.53700158436757</v>
      </c>
      <c r="F93" s="1">
        <f t="shared" si="9"/>
        <v>164.24312041291248</v>
      </c>
      <c r="G93" s="2">
        <f t="shared" si="10"/>
        <v>1.0993448291566796</v>
      </c>
    </row>
    <row r="94" spans="1:7" x14ac:dyDescent="0.25">
      <c r="A94" s="162"/>
      <c r="B94" s="38" t="s">
        <v>74</v>
      </c>
      <c r="C94">
        <f>C46/C80</f>
        <v>159.64352577038326</v>
      </c>
      <c r="D94">
        <f t="shared" ref="D94:E94" si="24">D46/D80</f>
        <v>159.5746671290199</v>
      </c>
      <c r="E94">
        <f t="shared" si="24"/>
        <v>158.32255133190901</v>
      </c>
      <c r="F94" s="1">
        <f t="shared" si="9"/>
        <v>159.18024807710404</v>
      </c>
      <c r="G94" s="2">
        <f t="shared" si="10"/>
        <v>0.60713433887470369</v>
      </c>
    </row>
    <row r="95" spans="1:7" x14ac:dyDescent="0.25">
      <c r="A95" s="162"/>
      <c r="B95" s="38" t="s">
        <v>75</v>
      </c>
      <c r="C95">
        <f>C47/C80</f>
        <v>160.46574415107713</v>
      </c>
      <c r="D95">
        <f t="shared" ref="D95:E95" si="25">D47/D80</f>
        <v>160.62088532861327</v>
      </c>
      <c r="E95">
        <f t="shared" si="25"/>
        <v>159.08580840755056</v>
      </c>
      <c r="F95" s="1">
        <f t="shared" si="9"/>
        <v>160.05747929574696</v>
      </c>
      <c r="G95" s="2">
        <f t="shared" si="10"/>
        <v>0.68998813152505323</v>
      </c>
    </row>
    <row r="96" spans="1:7" x14ac:dyDescent="0.25">
      <c r="A96" s="162"/>
      <c r="B96" s="38" t="s">
        <v>76</v>
      </c>
      <c r="C96">
        <f>C48/C80</f>
        <v>161.01233140394535</v>
      </c>
      <c r="D96">
        <f t="shared" ref="D96:E96" si="26">D48/D80</f>
        <v>161.18288824050464</v>
      </c>
      <c r="E96">
        <f t="shared" si="26"/>
        <v>159.68372662457691</v>
      </c>
      <c r="F96" s="1">
        <f t="shared" si="9"/>
        <v>160.62631542300895</v>
      </c>
      <c r="G96" s="2">
        <f t="shared" si="10"/>
        <v>0.67013811552618208</v>
      </c>
    </row>
    <row r="97" spans="1:7" x14ac:dyDescent="0.25">
      <c r="A97" s="162"/>
      <c r="B97" s="38" t="s">
        <v>77</v>
      </c>
      <c r="C97">
        <f>C49/C80</f>
        <v>161.48362176155243</v>
      </c>
      <c r="D97">
        <f t="shared" ref="D97:E97" si="27">D49/D80</f>
        <v>161.66374728348012</v>
      </c>
      <c r="E97">
        <f t="shared" si="27"/>
        <v>160.12119361691913</v>
      </c>
      <c r="F97" s="1">
        <f t="shared" si="9"/>
        <v>161.08952088731721</v>
      </c>
      <c r="G97" s="2">
        <f t="shared" si="10"/>
        <v>0.68864823040499767</v>
      </c>
    </row>
    <row r="98" spans="1:7" x14ac:dyDescent="0.25">
      <c r="A98" s="162"/>
      <c r="B98" s="38" t="s">
        <v>78</v>
      </c>
      <c r="C98">
        <f>C50/C80</f>
        <v>161.87933004921862</v>
      </c>
      <c r="D98">
        <f t="shared" ref="D98:E98" si="28">D50/D80</f>
        <v>162.07939866057666</v>
      </c>
      <c r="E98">
        <f t="shared" si="28"/>
        <v>160.48808023461444</v>
      </c>
      <c r="F98" s="1">
        <f t="shared" si="9"/>
        <v>161.48226964813659</v>
      </c>
      <c r="G98" s="2">
        <f t="shared" si="10"/>
        <v>0.70772702118933428</v>
      </c>
    </row>
    <row r="99" spans="1:7" x14ac:dyDescent="0.25">
      <c r="A99" s="162"/>
      <c r="B99" s="38" t="s">
        <v>79</v>
      </c>
      <c r="C99">
        <f>C51/C80</f>
        <v>162.91309708326082</v>
      </c>
      <c r="D99">
        <f t="shared" ref="D99:E99" si="29">D51/D80</f>
        <v>163.10902244592646</v>
      </c>
      <c r="E99">
        <f t="shared" si="29"/>
        <v>161.61796086692112</v>
      </c>
      <c r="F99" s="1">
        <f t="shared" si="9"/>
        <v>162.54669346536949</v>
      </c>
      <c r="G99" s="2">
        <f t="shared" si="10"/>
        <v>0.66156625594084162</v>
      </c>
    </row>
    <row r="100" spans="1:7" x14ac:dyDescent="0.25">
      <c r="A100" s="162"/>
      <c r="B100" s="38" t="s">
        <v>82</v>
      </c>
      <c r="C100">
        <f>C52/C80</f>
        <v>155.68787856693748</v>
      </c>
      <c r="D100">
        <f t="shared" ref="D100:E100" si="30">D52/D80</f>
        <v>155.82822964244684</v>
      </c>
      <c r="E100">
        <f t="shared" si="30"/>
        <v>154.21589858847253</v>
      </c>
      <c r="F100" s="1">
        <f t="shared" si="9"/>
        <v>155.2440022659523</v>
      </c>
      <c r="G100" s="2">
        <f t="shared" si="10"/>
        <v>0.72923360904203627</v>
      </c>
    </row>
    <row r="101" spans="1:7" x14ac:dyDescent="0.25">
      <c r="A101" s="162"/>
      <c r="B101" s="38" t="s">
        <v>83</v>
      </c>
      <c r="C101">
        <f>C53/C80</f>
        <v>150.04492530187358</v>
      </c>
      <c r="D101">
        <f t="shared" ref="D101:E101" si="31">D53/D80</f>
        <v>149.8124871568545</v>
      </c>
      <c r="E101">
        <f t="shared" si="31"/>
        <v>148.33772485216571</v>
      </c>
      <c r="F101" s="1">
        <f t="shared" si="9"/>
        <v>149.39837910363124</v>
      </c>
      <c r="G101" s="2">
        <f t="shared" si="10"/>
        <v>0.75597506734854003</v>
      </c>
    </row>
    <row r="102" spans="1:7" x14ac:dyDescent="0.25">
      <c r="A102" s="162"/>
      <c r="B102" s="38" t="s">
        <v>84</v>
      </c>
      <c r="C102">
        <f>C54/C80</f>
        <v>141.18397177182266</v>
      </c>
      <c r="D102">
        <f t="shared" ref="D102:E102" si="32">D54/D80</f>
        <v>139.69310574111955</v>
      </c>
      <c r="E102">
        <f t="shared" si="32"/>
        <v>140.6431112017988</v>
      </c>
      <c r="F102" s="1">
        <f t="shared" si="9"/>
        <v>140.50672957158034</v>
      </c>
      <c r="G102" s="2">
        <f t="shared" si="10"/>
        <v>0.61623607065901354</v>
      </c>
    </row>
    <row r="103" spans="1:7" x14ac:dyDescent="0.25">
      <c r="A103" s="162"/>
      <c r="B103" s="38" t="s">
        <v>85</v>
      </c>
      <c r="C103">
        <f>C55/C80</f>
        <v>122.23663334336837</v>
      </c>
      <c r="D103">
        <f t="shared" ref="D103:E103" si="33">D55/D80</f>
        <v>120.03325499014581</v>
      </c>
      <c r="E103">
        <f t="shared" si="33"/>
        <v>118.035430219811</v>
      </c>
      <c r="F103" s="1">
        <f t="shared" si="9"/>
        <v>120.10177285110841</v>
      </c>
      <c r="G103" s="2">
        <f t="shared" si="10"/>
        <v>1.7158181613640771</v>
      </c>
    </row>
    <row r="104" spans="1:7" ht="15.75" thickBot="1" x14ac:dyDescent="0.3">
      <c r="A104" s="163"/>
      <c r="B104" s="39" t="s">
        <v>86</v>
      </c>
      <c r="C104">
        <f>C56/C80</f>
        <v>68.21870193189676</v>
      </c>
      <c r="D104">
        <f t="shared" ref="D104:E104" si="34">D56/D80</f>
        <v>62.541844330179373</v>
      </c>
      <c r="E104">
        <f t="shared" si="34"/>
        <v>46.763321090492994</v>
      </c>
      <c r="F104" s="1">
        <f t="shared" si="9"/>
        <v>59.174622450856383</v>
      </c>
      <c r="G104" s="2">
        <f t="shared" si="10"/>
        <v>9.0769664224292637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0.75031802557222427</v>
      </c>
      <c r="D106">
        <f t="shared" ref="D106:E106" si="35">D55/D51</f>
        <v>0.73590812568286312</v>
      </c>
      <c r="E106">
        <f t="shared" si="35"/>
        <v>0.73033609375262021</v>
      </c>
      <c r="F106" s="1">
        <f>AVERAGE(C106:E106)</f>
        <v>0.73885408166923583</v>
      </c>
      <c r="G106" s="2">
        <f>_xlfn.STDEV.P(C106:E106)</f>
        <v>8.4193583411904718E-3</v>
      </c>
    </row>
    <row r="107" spans="1:7" ht="15.75" thickBot="1" x14ac:dyDescent="0.3">
      <c r="A107" s="36"/>
      <c r="B107" s="39" t="s">
        <v>94</v>
      </c>
      <c r="C107">
        <f>(1-C45/C33)*100</f>
        <v>9.1029393565160266</v>
      </c>
      <c r="D107">
        <f t="shared" ref="D107:E107" si="36">(1-D45/D33)*100</f>
        <v>9.0323778662893197</v>
      </c>
      <c r="E107">
        <f t="shared" si="36"/>
        <v>9.5646407906178617</v>
      </c>
      <c r="F107" s="1">
        <f>AVERAGE(C107:E107)</f>
        <v>9.2333193378077372</v>
      </c>
      <c r="G107" s="2">
        <f>_xlfn.STDEV.P(C107:E107)</f>
        <v>0.23604400690678093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8.0814808000000005E-3</v>
      </c>
      <c r="D110">
        <f t="shared" ref="D110:E110" si="37">D16*D21/10^4</f>
        <v>8.0814808000000005E-3</v>
      </c>
      <c r="E110">
        <f t="shared" si="37"/>
        <v>7.737588000000001E-3</v>
      </c>
      <c r="F110" s="1">
        <f t="shared" ref="F110:F134" si="38">AVERAGE(C110:E110)</f>
        <v>7.9668498666666671E-3</v>
      </c>
      <c r="G110" s="2">
        <f t="shared" ref="G110:G134" si="39">_xlfn.STDEV.P(C110:E110)</f>
        <v>1.621126205874859E-4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452.43707069130198</v>
      </c>
      <c r="D111">
        <f t="shared" ref="D111:E111" si="40">D33/D110</f>
        <v>459.52068462502564</v>
      </c>
      <c r="E111">
        <f t="shared" si="40"/>
        <v>473.02102283037038</v>
      </c>
      <c r="F111" s="1">
        <f t="shared" si="38"/>
        <v>461.65959271556602</v>
      </c>
      <c r="G111" s="2">
        <f t="shared" si="39"/>
        <v>8.5383826446893689</v>
      </c>
    </row>
    <row r="112" spans="1:7" x14ac:dyDescent="0.25">
      <c r="A112" s="162"/>
      <c r="B112" s="38" t="s">
        <v>74</v>
      </c>
      <c r="C112">
        <f>C34/C110</f>
        <v>424.93858675009159</v>
      </c>
      <c r="D112">
        <f t="shared" ref="D112:E112" si="41">D34/D110</f>
        <v>427.62464893810056</v>
      </c>
      <c r="E112">
        <f t="shared" si="41"/>
        <v>429.77603614976653</v>
      </c>
      <c r="F112" s="1">
        <f t="shared" si="38"/>
        <v>427.44642394598623</v>
      </c>
      <c r="G112" s="2">
        <f t="shared" si="39"/>
        <v>1.9788973839766546</v>
      </c>
    </row>
    <row r="113" spans="1:7" x14ac:dyDescent="0.25">
      <c r="A113" s="162"/>
      <c r="B113" s="38" t="s">
        <v>75</v>
      </c>
      <c r="C113">
        <f>C35/C110</f>
        <v>404.98295064934138</v>
      </c>
      <c r="D113">
        <f t="shared" ref="D113:E113" si="42">D35/D110</f>
        <v>408.01817409502473</v>
      </c>
      <c r="E113">
        <f t="shared" si="42"/>
        <v>410.07083215079422</v>
      </c>
      <c r="F113" s="1">
        <f t="shared" si="38"/>
        <v>407.69065229838679</v>
      </c>
      <c r="G113" s="2">
        <f t="shared" si="39"/>
        <v>2.0899900220912095</v>
      </c>
    </row>
    <row r="114" spans="1:7" x14ac:dyDescent="0.25">
      <c r="A114" s="162"/>
      <c r="B114" s="38" t="s">
        <v>76</v>
      </c>
      <c r="C114">
        <f>C36/C110</f>
        <v>406.80791322303207</v>
      </c>
      <c r="D114">
        <f t="shared" ref="D114:E114" si="43">D36/D110</f>
        <v>410.1105926032763</v>
      </c>
      <c r="E114">
        <f t="shared" si="43"/>
        <v>412.10913271681039</v>
      </c>
      <c r="F114" s="1">
        <f t="shared" si="38"/>
        <v>409.67587951437287</v>
      </c>
      <c r="G114" s="2">
        <f t="shared" si="39"/>
        <v>2.1859343742134243</v>
      </c>
    </row>
    <row r="115" spans="1:7" x14ac:dyDescent="0.25">
      <c r="A115" s="162"/>
      <c r="B115" s="38" t="s">
        <v>77</v>
      </c>
      <c r="C115">
        <f>C37/C110</f>
        <v>408.1149991719339</v>
      </c>
      <c r="D115">
        <f t="shared" ref="D115:E115" si="44">D37/D110</f>
        <v>411.42316269562872</v>
      </c>
      <c r="E115">
        <f t="shared" si="44"/>
        <v>413.59187772727103</v>
      </c>
      <c r="F115" s="1">
        <f t="shared" si="38"/>
        <v>411.04334653161123</v>
      </c>
      <c r="G115" s="2">
        <f t="shared" si="39"/>
        <v>2.2519983594302255</v>
      </c>
    </row>
    <row r="116" spans="1:7" x14ac:dyDescent="0.25">
      <c r="A116" s="162"/>
      <c r="B116" s="38" t="s">
        <v>78</v>
      </c>
      <c r="C116">
        <f>C38/C110</f>
        <v>409.27072672127116</v>
      </c>
      <c r="D116">
        <f t="shared" ref="D116:E116" si="45">D38/D110</f>
        <v>412.61696000069685</v>
      </c>
      <c r="E116">
        <f t="shared" si="45"/>
        <v>414.66486972426026</v>
      </c>
      <c r="F116" s="1">
        <f t="shared" si="38"/>
        <v>412.18418548207609</v>
      </c>
      <c r="G116" s="2">
        <f t="shared" si="39"/>
        <v>2.2233105979071888</v>
      </c>
    </row>
    <row r="117" spans="1:7" x14ac:dyDescent="0.25">
      <c r="A117" s="162"/>
      <c r="B117" s="38" t="s">
        <v>79</v>
      </c>
      <c r="C117">
        <f>C39/C110</f>
        <v>412.17264910163493</v>
      </c>
      <c r="D117">
        <f t="shared" ref="D117:E117" si="46">D39/D110</f>
        <v>415.60679572486265</v>
      </c>
      <c r="E117">
        <f t="shared" si="46"/>
        <v>417.83337132967011</v>
      </c>
      <c r="F117" s="1">
        <f t="shared" si="38"/>
        <v>415.20427205205596</v>
      </c>
      <c r="G117" s="2">
        <f t="shared" si="39"/>
        <v>2.3284419706633992</v>
      </c>
    </row>
    <row r="118" spans="1:7" x14ac:dyDescent="0.25">
      <c r="A118" s="162"/>
      <c r="B118" s="38" t="s">
        <v>80</v>
      </c>
      <c r="C118">
        <f>C40/C110</f>
        <v>411.21573288895269</v>
      </c>
      <c r="D118">
        <f t="shared" ref="D118:E118" si="47">D40/D110</f>
        <v>414.58934357673655</v>
      </c>
      <c r="E118">
        <f t="shared" si="47"/>
        <v>416.50004368286335</v>
      </c>
      <c r="F118" s="1">
        <f t="shared" si="38"/>
        <v>414.1017067161842</v>
      </c>
      <c r="G118" s="2">
        <f t="shared" si="39"/>
        <v>2.1846933304985399</v>
      </c>
    </row>
    <row r="119" spans="1:7" x14ac:dyDescent="0.25">
      <c r="A119" s="162"/>
      <c r="B119" s="38" t="s">
        <v>80</v>
      </c>
      <c r="C119">
        <f>C41/C110</f>
        <v>395.30525395791318</v>
      </c>
      <c r="D119">
        <f t="shared" ref="D119:E119" si="48">D41/D110</f>
        <v>398.33301095017134</v>
      </c>
      <c r="E119">
        <f t="shared" si="48"/>
        <v>399.1152048933078</v>
      </c>
      <c r="F119" s="1">
        <f t="shared" si="38"/>
        <v>397.58448993379744</v>
      </c>
      <c r="G119" s="2">
        <f t="shared" si="39"/>
        <v>1.6429940792130397</v>
      </c>
    </row>
    <row r="120" spans="1:7" x14ac:dyDescent="0.25">
      <c r="A120" s="162"/>
      <c r="B120" s="38" t="s">
        <v>80</v>
      </c>
      <c r="C120">
        <f>C42/C110</f>
        <v>380.35357208297762</v>
      </c>
      <c r="D120">
        <f t="shared" ref="D120:E120" si="49">D42/D110</f>
        <v>382.35646615654889</v>
      </c>
      <c r="E120">
        <f t="shared" si="49"/>
        <v>383.87140540437144</v>
      </c>
      <c r="F120" s="1">
        <f t="shared" si="38"/>
        <v>382.19381454796599</v>
      </c>
      <c r="G120" s="2">
        <f t="shared" si="39"/>
        <v>1.4407473705472285</v>
      </c>
    </row>
    <row r="121" spans="1:7" x14ac:dyDescent="0.25">
      <c r="A121" s="162"/>
      <c r="B121" s="38" t="s">
        <v>80</v>
      </c>
      <c r="C121">
        <f>C43/C110</f>
        <v>353.00112697168072</v>
      </c>
      <c r="D121">
        <f t="shared" ref="D121:E121" si="50">D43/D110</f>
        <v>338.97857679746016</v>
      </c>
      <c r="E121">
        <f t="shared" si="50"/>
        <v>340.90486854559839</v>
      </c>
      <c r="F121" s="1">
        <f t="shared" si="38"/>
        <v>344.29485743824642</v>
      </c>
      <c r="G121" s="2">
        <f t="shared" si="39"/>
        <v>6.2062869665278946</v>
      </c>
    </row>
    <row r="122" spans="1:7" ht="15.75" thickBot="1" x14ac:dyDescent="0.3">
      <c r="A122" s="163"/>
      <c r="B122" s="39" t="s">
        <v>80</v>
      </c>
      <c r="C122">
        <f>C44/C110</f>
        <v>311.72714906406753</v>
      </c>
      <c r="D122">
        <f t="shared" ref="D122:E122" si="51">D44/D110</f>
        <v>306.63149505966777</v>
      </c>
      <c r="E122">
        <f t="shared" si="51"/>
        <v>305.34405166054324</v>
      </c>
      <c r="F122" s="1">
        <f t="shared" si="38"/>
        <v>307.90089859475955</v>
      </c>
      <c r="G122" s="2">
        <f t="shared" si="39"/>
        <v>2.7561473251499935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411.2519985198752</v>
      </c>
      <c r="D123">
        <f t="shared" ref="D123:E123" si="52">D45/D110</f>
        <v>418.01504001593366</v>
      </c>
      <c r="E123">
        <f t="shared" si="52"/>
        <v>427.77826113253894</v>
      </c>
      <c r="F123" s="1">
        <f t="shared" si="38"/>
        <v>419.01509988944923</v>
      </c>
      <c r="G123" s="2">
        <f t="shared" si="39"/>
        <v>6.7837761754863291</v>
      </c>
    </row>
    <row r="124" spans="1:7" x14ac:dyDescent="0.25">
      <c r="A124" s="162"/>
      <c r="B124" s="38" t="s">
        <v>74</v>
      </c>
      <c r="C124">
        <f>C46/C110</f>
        <v>403.15531282336275</v>
      </c>
      <c r="D124">
        <f t="shared" ref="D124:E124" si="53">D46/D110</f>
        <v>405.88735915823742</v>
      </c>
      <c r="E124">
        <f t="shared" si="53"/>
        <v>409.13478593070602</v>
      </c>
      <c r="F124" s="1">
        <f t="shared" si="38"/>
        <v>406.05915263743537</v>
      </c>
      <c r="G124" s="2">
        <f t="shared" si="39"/>
        <v>2.4441303033978561</v>
      </c>
    </row>
    <row r="125" spans="1:7" x14ac:dyDescent="0.25">
      <c r="A125" s="162"/>
      <c r="B125" s="38" t="s">
        <v>75</v>
      </c>
      <c r="C125">
        <f>C47/C110</f>
        <v>405.23169961623859</v>
      </c>
      <c r="D125">
        <f t="shared" ref="D125:E125" si="54">D47/D110</f>
        <v>408.54847542296949</v>
      </c>
      <c r="E125">
        <f t="shared" si="54"/>
        <v>411.1071835305782</v>
      </c>
      <c r="F125" s="1">
        <f t="shared" si="38"/>
        <v>408.29578618992878</v>
      </c>
      <c r="G125" s="2">
        <f t="shared" si="39"/>
        <v>2.4053020175280713</v>
      </c>
    </row>
    <row r="126" spans="1:7" x14ac:dyDescent="0.25">
      <c r="A126" s="162"/>
      <c r="B126" s="38" t="s">
        <v>76</v>
      </c>
      <c r="C126">
        <f>C48/C110</f>
        <v>406.61202214326858</v>
      </c>
      <c r="D126">
        <f t="shared" ref="D126:E126" si="55">D48/D110</f>
        <v>409.97796220712422</v>
      </c>
      <c r="E126">
        <f t="shared" si="55"/>
        <v>412.65231490743622</v>
      </c>
      <c r="F126" s="1">
        <f t="shared" si="38"/>
        <v>409.74743308594299</v>
      </c>
      <c r="G126" s="2">
        <f t="shared" si="39"/>
        <v>2.4713210942056127</v>
      </c>
    </row>
    <row r="127" spans="1:7" x14ac:dyDescent="0.25">
      <c r="A127" s="162"/>
      <c r="B127" s="38" t="s">
        <v>77</v>
      </c>
      <c r="C127">
        <f>C49/C110</f>
        <v>407.80219387516206</v>
      </c>
      <c r="D127">
        <f t="shared" ref="D127:E127" si="56">D49/D110</f>
        <v>411.20105488588177</v>
      </c>
      <c r="E127">
        <f t="shared" si="56"/>
        <v>413.78281061229927</v>
      </c>
      <c r="F127" s="1">
        <f t="shared" si="38"/>
        <v>410.928686457781</v>
      </c>
      <c r="G127" s="2">
        <f t="shared" si="39"/>
        <v>2.4491607487193083</v>
      </c>
    </row>
    <row r="128" spans="1:7" x14ac:dyDescent="0.25">
      <c r="A128" s="162"/>
      <c r="B128" s="38" t="s">
        <v>78</v>
      </c>
      <c r="C128">
        <f>C50/C110</f>
        <v>408.80149464687213</v>
      </c>
      <c r="D128">
        <f t="shared" ref="D128:E128" si="57">D50/D110</f>
        <v>412.2582881097731</v>
      </c>
      <c r="E128">
        <f t="shared" si="57"/>
        <v>414.73091356117692</v>
      </c>
      <c r="F128" s="1">
        <f t="shared" si="38"/>
        <v>411.93023210594077</v>
      </c>
      <c r="G128" s="2">
        <f t="shared" si="39"/>
        <v>2.4317644789420849</v>
      </c>
    </row>
    <row r="129" spans="1:7" x14ac:dyDescent="0.25">
      <c r="A129" s="162"/>
      <c r="B129" s="38" t="s">
        <v>79</v>
      </c>
      <c r="C129">
        <f>C51/C110</f>
        <v>411.4121152153204</v>
      </c>
      <c r="D129">
        <f t="shared" ref="D129:E129" si="58">D51/D110</f>
        <v>414.87719552584963</v>
      </c>
      <c r="E129">
        <f t="shared" si="58"/>
        <v>417.65073431151927</v>
      </c>
      <c r="F129" s="1">
        <f t="shared" si="38"/>
        <v>414.6466816842298</v>
      </c>
      <c r="G129" s="2">
        <f t="shared" si="39"/>
        <v>2.5521160540811456</v>
      </c>
    </row>
    <row r="130" spans="1:7" x14ac:dyDescent="0.25">
      <c r="A130" s="162"/>
      <c r="B130" s="38" t="s">
        <v>82</v>
      </c>
      <c r="C130">
        <f>C52/C110</f>
        <v>393.16593067943688</v>
      </c>
      <c r="D130">
        <f t="shared" ref="D130:E130" si="59">D52/D110</f>
        <v>396.35807957373356</v>
      </c>
      <c r="E130">
        <f t="shared" si="59"/>
        <v>398.5224348983171</v>
      </c>
      <c r="F130" s="1">
        <f t="shared" si="38"/>
        <v>396.01548171716257</v>
      </c>
      <c r="G130" s="2">
        <f t="shared" si="39"/>
        <v>2.2001612562439905</v>
      </c>
    </row>
    <row r="131" spans="1:7" x14ac:dyDescent="0.25">
      <c r="A131" s="162"/>
      <c r="B131" s="38" t="s">
        <v>83</v>
      </c>
      <c r="C131">
        <f>C53/C110</f>
        <v>378.91551508728446</v>
      </c>
      <c r="D131">
        <f t="shared" ref="D131:E131" si="60">D53/D110</f>
        <v>381.05669198644875</v>
      </c>
      <c r="E131">
        <f t="shared" si="60"/>
        <v>383.33214562470886</v>
      </c>
      <c r="F131" s="1">
        <f t="shared" si="38"/>
        <v>381.10145089948065</v>
      </c>
      <c r="G131" s="2">
        <f t="shared" si="39"/>
        <v>1.8033596140258654</v>
      </c>
    </row>
    <row r="132" spans="1:7" x14ac:dyDescent="0.25">
      <c r="A132" s="162"/>
      <c r="B132" s="38" t="s">
        <v>84</v>
      </c>
      <c r="C132">
        <f>C54/C110</f>
        <v>356.53853189875798</v>
      </c>
      <c r="D132">
        <f t="shared" ref="D132:E132" si="61">D54/D110</f>
        <v>355.31746236407565</v>
      </c>
      <c r="E132">
        <f t="shared" si="61"/>
        <v>363.44783930082599</v>
      </c>
      <c r="F132" s="1">
        <f t="shared" si="38"/>
        <v>358.43461118788656</v>
      </c>
      <c r="G132" s="2">
        <f t="shared" si="39"/>
        <v>3.5797667322892379</v>
      </c>
    </row>
    <row r="133" spans="1:7" x14ac:dyDescent="0.25">
      <c r="A133" s="162"/>
      <c r="B133" s="38" t="s">
        <v>85</v>
      </c>
      <c r="C133">
        <f>C55/C110</f>
        <v>308.68992598485164</v>
      </c>
      <c r="D133">
        <f t="shared" ref="D133:E133" si="62">D55/D110</f>
        <v>305.31149934799078</v>
      </c>
      <c r="E133">
        <f t="shared" si="62"/>
        <v>305.02540584998837</v>
      </c>
      <c r="F133" s="1">
        <f t="shared" si="38"/>
        <v>306.34227706094362</v>
      </c>
      <c r="G133" s="2">
        <f t="shared" si="39"/>
        <v>1.664142216447613</v>
      </c>
    </row>
    <row r="134" spans="1:7" ht="15.75" thickBot="1" x14ac:dyDescent="0.3">
      <c r="A134" s="163"/>
      <c r="B134" s="39" t="s">
        <v>86</v>
      </c>
      <c r="C134">
        <f>C56/C110</f>
        <v>172.27590022858186</v>
      </c>
      <c r="D134">
        <f t="shared" ref="D134:E134" si="63">D56/D110</f>
        <v>159.07878417529619</v>
      </c>
      <c r="E134">
        <f t="shared" si="63"/>
        <v>120.84507988794439</v>
      </c>
      <c r="F134" s="1">
        <f t="shared" si="38"/>
        <v>150.73325476394083</v>
      </c>
      <c r="G134" s="2">
        <f t="shared" si="39"/>
        <v>21.810062144104872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DD013</v>
      </c>
      <c r="D137" s="68" t="str">
        <f>D1</f>
        <v>DD015</v>
      </c>
      <c r="E137" s="68" t="str">
        <f>E1</f>
        <v>DD057</v>
      </c>
    </row>
    <row r="138" spans="1:7" ht="14.45" customHeight="1" x14ac:dyDescent="0.25">
      <c r="A138" s="172"/>
      <c r="B138" s="69" t="s">
        <v>100</v>
      </c>
      <c r="C138" s="68">
        <f>C25</f>
        <v>2.0408543999999997E-2</v>
      </c>
      <c r="D138" s="68">
        <f t="shared" ref="D138:E138" si="64">D25</f>
        <v>2.0555712E-2</v>
      </c>
      <c r="E138" s="68">
        <f t="shared" si="64"/>
        <v>1.999536E-2</v>
      </c>
      <c r="F138" s="1">
        <f>AVERAGE(C138:E138)</f>
        <v>2.0319871999999999E-2</v>
      </c>
      <c r="G138" s="2">
        <f>_xlfn.STDEV.P(C138:E138)</f>
        <v>2.3719982246199055E-4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47</v>
      </c>
      <c r="D142" s="68">
        <f t="shared" ref="D142:E142" si="65">D21</f>
        <v>47</v>
      </c>
      <c r="E142" s="68">
        <f t="shared" si="65"/>
        <v>45</v>
      </c>
      <c r="F142" s="1">
        <f>AVERAGE(C142:E142)</f>
        <v>46.333333333333336</v>
      </c>
      <c r="G142" s="2">
        <f>_xlfn.STDEV.P(C142:E142)</f>
        <v>0.94280904158206336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 t="shared" ref="D143:E143" si="66">D16</f>
        <v>1.7194640000000001</v>
      </c>
      <c r="E143" s="68">
        <f t="shared" si="66"/>
        <v>1.7194640000000001</v>
      </c>
      <c r="F143" s="1">
        <f>AVERAGE(C143:E143)</f>
        <v>1.7194640000000001</v>
      </c>
      <c r="G143" s="2">
        <f>_xlfn.STDEV.P(C143:E143)</f>
        <v>0</v>
      </c>
    </row>
    <row r="144" spans="1:7" ht="14.45" customHeight="1" x14ac:dyDescent="0.25">
      <c r="A144" s="172"/>
      <c r="B144" s="69" t="s">
        <v>106</v>
      </c>
      <c r="C144" s="68">
        <f>C22</f>
        <v>123.63678448632828</v>
      </c>
      <c r="D144" s="68">
        <f t="shared" ref="D144:E144" si="67">D22</f>
        <v>124.52834139010761</v>
      </c>
      <c r="E144" s="68">
        <f t="shared" si="67"/>
        <v>121.13367886736798</v>
      </c>
      <c r="F144" s="1">
        <f>AVERAGE(C144:E144)</f>
        <v>123.09960158126796</v>
      </c>
      <c r="G144" s="2">
        <f>_xlfn.STDEV.P(C144:E144)</f>
        <v>1.4369777349098689</v>
      </c>
    </row>
    <row r="145" spans="1:7" ht="14.45" customHeight="1" x14ac:dyDescent="0.25">
      <c r="A145" s="172"/>
      <c r="B145" s="69" t="s">
        <v>107</v>
      </c>
      <c r="C145" s="68">
        <f>C24</f>
        <v>40.9921515772132</v>
      </c>
      <c r="D145" s="68">
        <f t="shared" ref="D145:E145" si="68">D24</f>
        <v>40.566640230755326</v>
      </c>
      <c r="E145" s="68">
        <f t="shared" si="68"/>
        <v>39.61732771677984</v>
      </c>
      <c r="F145" s="1">
        <f>AVERAGE(C145:E145)</f>
        <v>40.392039841582793</v>
      </c>
      <c r="G145" s="2">
        <f>_xlfn.STDEV.P(C145:E145)</f>
        <v>0.57468781886552533</v>
      </c>
    </row>
    <row r="146" spans="1:7" ht="14.45" customHeight="1" thickBot="1" x14ac:dyDescent="0.3">
      <c r="A146" s="173"/>
      <c r="B146" s="70" t="s">
        <v>108</v>
      </c>
      <c r="C146" s="68">
        <v>120</v>
      </c>
      <c r="D146" s="68">
        <v>120</v>
      </c>
      <c r="E146" s="68">
        <v>120</v>
      </c>
      <c r="F146" s="1">
        <f>AVERAGE(C146:E146)</f>
        <v>120</v>
      </c>
      <c r="G146" s="2">
        <f>_xlfn.STDEV.P(C146:E146)</f>
        <v>0</v>
      </c>
    </row>
    <row r="148" spans="1:7" x14ac:dyDescent="0.25">
      <c r="A148" s="168" t="s">
        <v>109</v>
      </c>
      <c r="B148" s="94" t="s">
        <v>110</v>
      </c>
      <c r="C148">
        <v>3.37</v>
      </c>
      <c r="D148">
        <v>3.46</v>
      </c>
      <c r="E148">
        <v>3.34</v>
      </c>
      <c r="F148" s="1">
        <f>AVERAGE(C148:E148)</f>
        <v>3.39</v>
      </c>
      <c r="G148" s="2">
        <f>_xlfn.STDEV.P(C148:E148)</f>
        <v>5.0990195135927861E-2</v>
      </c>
    </row>
    <row r="149" spans="1:7" x14ac:dyDescent="0.25">
      <c r="A149" s="169"/>
      <c r="B149" s="95" t="s">
        <v>111</v>
      </c>
      <c r="C149">
        <v>3.13</v>
      </c>
      <c r="D149">
        <v>3.22</v>
      </c>
      <c r="E149" s="97">
        <v>3.09</v>
      </c>
      <c r="F149" s="1">
        <f>AVERAGE(C149:E149)</f>
        <v>3.1466666666666665</v>
      </c>
      <c r="G149" s="2">
        <f>_xlfn.STDEV.P(C149:E149)</f>
        <v>5.4365021434333784E-2</v>
      </c>
    </row>
    <row r="150" spans="1:7" x14ac:dyDescent="0.25">
      <c r="A150" s="169"/>
      <c r="B150" s="95" t="s">
        <v>112</v>
      </c>
      <c r="C150">
        <v>3.06</v>
      </c>
      <c r="D150">
        <v>3.14</v>
      </c>
      <c r="E150">
        <v>3.05</v>
      </c>
      <c r="F150" s="1">
        <f>AVERAGE(C150:E150)</f>
        <v>3.0833333333333335</v>
      </c>
      <c r="G150" s="2">
        <f>_xlfn.STDEV.P(C150:E150)</f>
        <v>4.0276819911982002E-2</v>
      </c>
    </row>
    <row r="151" spans="1:7" ht="15.75" thickBot="1" x14ac:dyDescent="0.3">
      <c r="A151" s="170"/>
      <c r="B151" s="96" t="s">
        <v>113</v>
      </c>
      <c r="C151">
        <v>3.24</v>
      </c>
      <c r="D151">
        <v>3.32</v>
      </c>
      <c r="E151">
        <v>3.29</v>
      </c>
      <c r="F151" s="1">
        <f>AVERAGE(C151:E151)</f>
        <v>3.2833333333333337</v>
      </c>
      <c r="G151" s="2">
        <f>_xlfn.STDEV.P(C151:E151)</f>
        <v>3.2998316455372066E-2</v>
      </c>
    </row>
  </sheetData>
  <mergeCells count="11">
    <mergeCell ref="A81:A92"/>
    <mergeCell ref="A1:A30"/>
    <mergeCell ref="A33:A44"/>
    <mergeCell ref="A45:A56"/>
    <mergeCell ref="A57:A67"/>
    <mergeCell ref="A68:A78"/>
    <mergeCell ref="A148:A151"/>
    <mergeCell ref="A137:A146"/>
    <mergeCell ref="A93:A104"/>
    <mergeCell ref="A111:A122"/>
    <mergeCell ref="A123:A1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1"/>
  <sheetViews>
    <sheetView zoomScale="85" zoomScaleNormal="85" workbookViewId="0">
      <pane ySplit="1" topLeftCell="A153" activePane="bottomLeft" state="frozen"/>
      <selection pane="bottomLeft" activeCell="A153" sqref="A153:XFD153"/>
    </sheetView>
  </sheetViews>
  <sheetFormatPr defaultRowHeight="15" x14ac:dyDescent="0.25"/>
  <cols>
    <col min="1" max="1" width="14.28515625" customWidth="1"/>
    <col min="2" max="2" width="43.140625" style="27" customWidth="1"/>
    <col min="3" max="5" width="20.42578125" bestFit="1" customWidth="1"/>
    <col min="6" max="6" width="13.28515625" style="1" bestFit="1" customWidth="1"/>
    <col min="7" max="7" width="17.5703125" style="2" bestFit="1" customWidth="1"/>
  </cols>
  <sheetData>
    <row r="1" spans="1:7" x14ac:dyDescent="0.25">
      <c r="A1" s="164" t="s">
        <v>24</v>
      </c>
      <c r="B1" s="16" t="s">
        <v>25</v>
      </c>
      <c r="C1" t="s">
        <v>145</v>
      </c>
      <c r="D1" t="s">
        <v>146</v>
      </c>
      <c r="E1" t="s">
        <v>147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 t="s">
        <v>117</v>
      </c>
      <c r="D5" s="8" t="s">
        <v>148</v>
      </c>
      <c r="E5" s="8" t="s">
        <v>148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s="8" t="s">
        <v>149</v>
      </c>
      <c r="D8" s="8" t="s">
        <v>150</v>
      </c>
      <c r="E8" s="8" t="s">
        <v>151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2.63708E-2</v>
      </c>
      <c r="D12" s="8">
        <v>2.6046300000000001E-2</v>
      </c>
      <c r="E12" s="8">
        <v>2.6055399999999999E-2</v>
      </c>
      <c r="F12" s="1">
        <f>AVERAGE(C12:E12)</f>
        <v>2.61575E-2</v>
      </c>
      <c r="G12" s="2">
        <f>_xlfn.STDEV.P(C12:E12)</f>
        <v>1.5087162313260429E-4</v>
      </c>
    </row>
    <row r="13" spans="1:7" x14ac:dyDescent="0.25">
      <c r="A13" s="164"/>
      <c r="B13" s="21" t="s">
        <v>49</v>
      </c>
      <c r="C13" s="8">
        <v>55</v>
      </c>
      <c r="D13" s="8">
        <v>54</v>
      </c>
      <c r="E13" s="8">
        <v>54</v>
      </c>
      <c r="F13" s="1">
        <f t="shared" ref="F13:F76" si="0">AVERAGE(C13:E13)</f>
        <v>54.333333333333336</v>
      </c>
      <c r="G13" s="2">
        <f t="shared" ref="G13:G76" si="1">_xlfn.STDEV.P(C13:E13)</f>
        <v>0.47140452079103168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2.0800800000000001E-2</v>
      </c>
      <c r="D18" s="11">
        <f>D12-D14</f>
        <v>2.0476300000000003E-2</v>
      </c>
      <c r="E18" s="11">
        <f>E12-E14</f>
        <v>2.0485400000000001E-2</v>
      </c>
      <c r="F18" s="1">
        <f t="shared" si="0"/>
        <v>2.0587500000000002E-2</v>
      </c>
      <c r="G18" s="2">
        <f t="shared" si="1"/>
        <v>1.5087162313260429E-4</v>
      </c>
    </row>
    <row r="19" spans="1:7" x14ac:dyDescent="0.25">
      <c r="A19" s="164"/>
      <c r="B19" s="23" t="s">
        <v>55</v>
      </c>
      <c r="C19" s="12">
        <f>C18*C10/100*C11</f>
        <v>3.2948467200000002</v>
      </c>
      <c r="D19" s="12">
        <f>D18*D10/100*D11</f>
        <v>3.2434459200000005</v>
      </c>
      <c r="E19" s="12">
        <f>E18*E10/100*E11</f>
        <v>3.2448873600000003</v>
      </c>
      <c r="F19" s="1">
        <f t="shared" si="0"/>
        <v>3.2610600000000005</v>
      </c>
      <c r="G19" s="2">
        <f t="shared" si="1"/>
        <v>2.3898065104204468E-2</v>
      </c>
    </row>
    <row r="20" spans="1:7" x14ac:dyDescent="0.25">
      <c r="A20" s="164"/>
      <c r="B20" s="23" t="s">
        <v>56</v>
      </c>
      <c r="C20" s="12">
        <f>C19/C16</f>
        <v>1.9162057013115716</v>
      </c>
      <c r="D20" s="12">
        <f>D19/D16</f>
        <v>1.8863121996156944</v>
      </c>
      <c r="E20" s="12">
        <f>E19/E16</f>
        <v>1.8871505073674122</v>
      </c>
      <c r="F20" s="1">
        <f t="shared" si="0"/>
        <v>1.8965561360982262</v>
      </c>
      <c r="G20" s="2">
        <f t="shared" si="1"/>
        <v>1.3898555075421509E-2</v>
      </c>
    </row>
    <row r="21" spans="1:7" x14ac:dyDescent="0.25">
      <c r="A21" s="164"/>
      <c r="B21" s="22" t="s">
        <v>57</v>
      </c>
      <c r="C21" s="13">
        <f>C13-C15</f>
        <v>42</v>
      </c>
      <c r="D21" s="13">
        <f>D13-D15</f>
        <v>41</v>
      </c>
      <c r="E21" s="13">
        <f>E13-E15</f>
        <v>41</v>
      </c>
      <c r="F21" s="1">
        <f t="shared" si="0"/>
        <v>41.333333333333336</v>
      </c>
      <c r="G21" s="2">
        <f t="shared" si="1"/>
        <v>0.47140452079103168</v>
      </c>
    </row>
    <row r="22" spans="1:7" x14ac:dyDescent="0.25">
      <c r="A22" s="164"/>
      <c r="B22" s="22" t="s">
        <v>58</v>
      </c>
      <c r="C22" s="13">
        <f>C18/(C16/10^4)</f>
        <v>120.97258215350831</v>
      </c>
      <c r="D22" s="13">
        <f>D18/(D16/10^4)</f>
        <v>119.08536613735446</v>
      </c>
      <c r="E22" s="13">
        <f>E18/(E16/10^4)</f>
        <v>119.13828960652856</v>
      </c>
      <c r="F22" s="1">
        <f t="shared" si="0"/>
        <v>119.73207929913046</v>
      </c>
      <c r="G22" s="2">
        <f t="shared" si="1"/>
        <v>0.87743403253923247</v>
      </c>
    </row>
    <row r="23" spans="1:7" x14ac:dyDescent="0.25">
      <c r="A23" s="164"/>
      <c r="B23" s="22" t="s">
        <v>59</v>
      </c>
      <c r="C23" s="13">
        <f>C18/C16/(C21/10^4)</f>
        <v>2.8802995750835314</v>
      </c>
      <c r="D23" s="13">
        <f>D18/D16/(D21/10^4)</f>
        <v>2.9045211253013274</v>
      </c>
      <c r="E23" s="13">
        <f>E18/E16/(E21/10^4)</f>
        <v>2.9058119416226469</v>
      </c>
      <c r="F23" s="1">
        <f t="shared" si="0"/>
        <v>2.8968775473358352</v>
      </c>
      <c r="G23" s="2">
        <f t="shared" si="1"/>
        <v>1.1734235515290667E-2</v>
      </c>
    </row>
    <row r="24" spans="1:7" x14ac:dyDescent="0.25">
      <c r="A24" s="164"/>
      <c r="B24" s="22" t="s">
        <v>60</v>
      </c>
      <c r="C24" s="13">
        <f>(1-C23/C17)*100</f>
        <v>35.390319087403967</v>
      </c>
      <c r="D24" s="13">
        <f>(1-D23/D17)*100</f>
        <v>34.846991357081038</v>
      </c>
      <c r="E24" s="13">
        <f>(1-E23/E17)*100</f>
        <v>34.818036302767005</v>
      </c>
      <c r="F24" s="1">
        <f t="shared" si="0"/>
        <v>35.018448915750668</v>
      </c>
      <c r="G24" s="2">
        <f t="shared" si="1"/>
        <v>0.26321748576246651</v>
      </c>
    </row>
    <row r="25" spans="1:7" x14ac:dyDescent="0.25">
      <c r="A25" s="164"/>
      <c r="B25" s="24" t="s">
        <v>61</v>
      </c>
      <c r="C25" s="14">
        <f>(C18*C10)/100</f>
        <v>1.9968768000000001E-2</v>
      </c>
      <c r="D25" s="14">
        <f>(D18*D10)/100</f>
        <v>1.9657248000000002E-2</v>
      </c>
      <c r="E25" s="14">
        <f>(E18*E10)/100</f>
        <v>1.9665984000000001E-2</v>
      </c>
      <c r="F25" s="1">
        <f t="shared" si="0"/>
        <v>1.9764E-2</v>
      </c>
      <c r="G25" s="2">
        <f t="shared" si="1"/>
        <v>1.4483675820730027E-4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121</v>
      </c>
      <c r="D28" t="s">
        <v>121</v>
      </c>
      <c r="E28" t="s">
        <v>121</v>
      </c>
    </row>
    <row r="29" spans="1:7" x14ac:dyDescent="0.25">
      <c r="A29" s="164"/>
      <c r="B29" s="18" t="s">
        <v>67</v>
      </c>
      <c r="C29" t="s">
        <v>152</v>
      </c>
      <c r="D29" t="s">
        <v>153</v>
      </c>
      <c r="E29" t="s">
        <v>154</v>
      </c>
    </row>
    <row r="30" spans="1:7" x14ac:dyDescent="0.25">
      <c r="A30" s="164"/>
      <c r="B30" s="25" t="s">
        <v>71</v>
      </c>
      <c r="D30" s="92">
        <v>7.194</v>
      </c>
      <c r="E30" s="92">
        <v>3.335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3.6579337299999999</v>
      </c>
      <c r="D33" s="76">
        <v>4.5089204900000004</v>
      </c>
      <c r="E33" s="118">
        <v>3.5291664200000001</v>
      </c>
      <c r="F33" s="1">
        <f t="shared" si="0"/>
        <v>3.8986735466666667</v>
      </c>
      <c r="G33" s="2">
        <f t="shared" si="1"/>
        <v>0.43470009118695169</v>
      </c>
    </row>
    <row r="34" spans="1:7" x14ac:dyDescent="0.25">
      <c r="A34" s="166"/>
      <c r="B34" s="29" t="s">
        <v>74</v>
      </c>
      <c r="C34" s="78">
        <v>3.3544956099999999</v>
      </c>
      <c r="D34" s="79">
        <v>3.3609784500000002</v>
      </c>
      <c r="E34" s="114">
        <v>3.31117142</v>
      </c>
      <c r="F34" s="1">
        <f t="shared" si="0"/>
        <v>3.3422151599999999</v>
      </c>
      <c r="G34" s="2">
        <f t="shared" si="1"/>
        <v>2.211021104236837E-2</v>
      </c>
    </row>
    <row r="35" spans="1:7" x14ac:dyDescent="0.25">
      <c r="A35" s="166"/>
      <c r="B35" s="29" t="s">
        <v>75</v>
      </c>
      <c r="C35" s="78">
        <v>3.1921103500000001</v>
      </c>
      <c r="D35" s="79">
        <v>3.21240631</v>
      </c>
      <c r="E35" s="114">
        <v>3.15704064</v>
      </c>
      <c r="F35" s="1">
        <f t="shared" si="0"/>
        <v>3.187185766666667</v>
      </c>
      <c r="G35" s="2">
        <f t="shared" si="1"/>
        <v>2.2869601284856059E-2</v>
      </c>
    </row>
    <row r="36" spans="1:7" x14ac:dyDescent="0.25">
      <c r="A36" s="166"/>
      <c r="B36" s="29" t="s">
        <v>76</v>
      </c>
      <c r="C36" s="78">
        <v>3.2055698399999999</v>
      </c>
      <c r="D36" s="79">
        <v>3.21466371</v>
      </c>
      <c r="E36" s="114">
        <v>3.1731027900000002</v>
      </c>
      <c r="F36" s="1">
        <f t="shared" si="0"/>
        <v>3.1977787800000002</v>
      </c>
      <c r="G36" s="2">
        <f t="shared" si="1"/>
        <v>1.7839151320513991E-2</v>
      </c>
    </row>
    <row r="37" spans="1:7" x14ac:dyDescent="0.25">
      <c r="A37" s="166"/>
      <c r="B37" s="29" t="s">
        <v>77</v>
      </c>
      <c r="C37" s="78">
        <v>3.21515401</v>
      </c>
      <c r="D37" s="79">
        <v>3.21518025</v>
      </c>
      <c r="E37" s="114">
        <v>3.1840909800000001</v>
      </c>
      <c r="F37" s="1">
        <f t="shared" si="0"/>
        <v>3.2048084133333337</v>
      </c>
      <c r="G37" s="2">
        <f t="shared" si="1"/>
        <v>1.4649441515526121E-2</v>
      </c>
    </row>
    <row r="38" spans="1:7" x14ac:dyDescent="0.25">
      <c r="A38" s="166"/>
      <c r="B38" s="29" t="s">
        <v>78</v>
      </c>
      <c r="C38" s="78">
        <v>3.22464057</v>
      </c>
      <c r="D38" s="79">
        <v>3.2158584499999998</v>
      </c>
      <c r="E38" s="114">
        <v>3.1814216499999999</v>
      </c>
      <c r="F38" s="1">
        <f t="shared" si="0"/>
        <v>3.2073068899999999</v>
      </c>
      <c r="G38" s="2">
        <f t="shared" si="1"/>
        <v>1.8651463665832455E-2</v>
      </c>
    </row>
    <row r="39" spans="1:7" x14ac:dyDescent="0.25">
      <c r="A39" s="166"/>
      <c r="B39" s="29" t="s">
        <v>79</v>
      </c>
      <c r="C39" s="78">
        <v>3.2470324399999999</v>
      </c>
      <c r="D39" s="79">
        <v>3.2348318800000002</v>
      </c>
      <c r="E39" s="114">
        <v>3.2169919199999999</v>
      </c>
      <c r="F39" s="1">
        <f t="shared" si="0"/>
        <v>3.23295208</v>
      </c>
      <c r="G39" s="2">
        <f t="shared" si="1"/>
        <v>1.2335813619906358E-2</v>
      </c>
    </row>
    <row r="40" spans="1:7" x14ac:dyDescent="0.25">
      <c r="A40" s="166"/>
      <c r="B40" s="29" t="s">
        <v>80</v>
      </c>
      <c r="C40" s="78">
        <v>3.2401550100000001</v>
      </c>
      <c r="D40" s="79">
        <v>3.21478456</v>
      </c>
      <c r="E40" s="114">
        <v>3.21117192</v>
      </c>
      <c r="F40" s="1">
        <f t="shared" si="0"/>
        <v>3.2220371633333333</v>
      </c>
      <c r="G40" s="2">
        <f t="shared" si="1"/>
        <v>1.2895866723361009E-2</v>
      </c>
    </row>
    <row r="41" spans="1:7" x14ac:dyDescent="0.25">
      <c r="A41" s="166"/>
      <c r="B41" s="29" t="s">
        <v>80</v>
      </c>
      <c r="C41" s="78">
        <v>3.1062619200000001</v>
      </c>
      <c r="D41" s="79">
        <v>3.08638886</v>
      </c>
      <c r="E41" s="114">
        <v>3.0840395799999998</v>
      </c>
      <c r="F41" s="1">
        <f t="shared" si="0"/>
        <v>3.09223012</v>
      </c>
      <c r="G41" s="2">
        <f t="shared" si="1"/>
        <v>9.9682274438873501E-3</v>
      </c>
    </row>
    <row r="42" spans="1:7" x14ac:dyDescent="0.25">
      <c r="A42" s="166"/>
      <c r="B42" s="29" t="s">
        <v>80</v>
      </c>
      <c r="C42" s="78">
        <v>2.9864587600000001</v>
      </c>
      <c r="D42" s="79">
        <v>2.9731294899999998</v>
      </c>
      <c r="E42" s="114">
        <v>2.9730775399999998</v>
      </c>
      <c r="F42" s="1">
        <f t="shared" si="0"/>
        <v>2.9775552633333331</v>
      </c>
      <c r="G42" s="2">
        <f t="shared" si="1"/>
        <v>6.2957585918688649E-3</v>
      </c>
    </row>
    <row r="43" spans="1:7" x14ac:dyDescent="0.25">
      <c r="A43" s="166"/>
      <c r="B43" s="29" t="s">
        <v>80</v>
      </c>
      <c r="C43" s="78">
        <v>2.6476919699999999</v>
      </c>
      <c r="D43" s="79">
        <v>2.6302001399999999</v>
      </c>
      <c r="E43" s="114">
        <v>2.6251979300000001</v>
      </c>
      <c r="F43" s="1">
        <f t="shared" si="0"/>
        <v>2.6343633466666669</v>
      </c>
      <c r="G43" s="2">
        <f t="shared" si="1"/>
        <v>9.6434667415278685E-3</v>
      </c>
    </row>
    <row r="44" spans="1:7" ht="15.75" thickBot="1" x14ac:dyDescent="0.3">
      <c r="A44" s="167"/>
      <c r="B44" s="30" t="s">
        <v>80</v>
      </c>
      <c r="C44" s="81">
        <v>2.4925997600000001</v>
      </c>
      <c r="D44" s="82">
        <v>2.5096252799999998</v>
      </c>
      <c r="E44" s="115">
        <v>2.4548832300000001</v>
      </c>
      <c r="F44" s="1">
        <f t="shared" si="0"/>
        <v>2.4857027566666665</v>
      </c>
      <c r="G44" s="2">
        <f t="shared" si="1"/>
        <v>2.2874286885578566E-2</v>
      </c>
    </row>
    <row r="45" spans="1:7" ht="15.75" thickTop="1" x14ac:dyDescent="0.25">
      <c r="A45" s="165" t="s">
        <v>81</v>
      </c>
      <c r="B45" s="28" t="s">
        <v>73</v>
      </c>
      <c r="C45" s="78">
        <v>3.32469752</v>
      </c>
      <c r="D45" s="79">
        <v>3.3287442399999998</v>
      </c>
      <c r="E45" s="114">
        <v>3.20865321</v>
      </c>
      <c r="F45" s="1">
        <f t="shared" si="0"/>
        <v>3.2873649899999999</v>
      </c>
      <c r="G45" s="2">
        <f t="shared" si="1"/>
        <v>5.568214686214297E-2</v>
      </c>
    </row>
    <row r="46" spans="1:7" x14ac:dyDescent="0.25">
      <c r="A46" s="166"/>
      <c r="B46" s="29" t="s">
        <v>74</v>
      </c>
      <c r="C46" s="78">
        <v>3.1797221499999999</v>
      </c>
      <c r="D46" s="79">
        <v>3.1970833500000002</v>
      </c>
      <c r="E46" s="114">
        <v>3.1458259599999998</v>
      </c>
      <c r="F46" s="1">
        <f t="shared" si="0"/>
        <v>3.1742104866666665</v>
      </c>
      <c r="G46" s="2">
        <f t="shared" si="1"/>
        <v>2.1285579342644839E-2</v>
      </c>
    </row>
    <row r="47" spans="1:7" x14ac:dyDescent="0.25">
      <c r="A47" s="166"/>
      <c r="B47" s="29" t="s">
        <v>75</v>
      </c>
      <c r="C47" s="78">
        <v>3.1933255800000002</v>
      </c>
      <c r="D47" s="79">
        <v>3.2010923099999999</v>
      </c>
      <c r="E47" s="114">
        <v>3.1620261900000002</v>
      </c>
      <c r="F47" s="1">
        <f t="shared" si="0"/>
        <v>3.1854813600000003</v>
      </c>
      <c r="G47" s="2">
        <f t="shared" si="1"/>
        <v>1.6885679801139118E-2</v>
      </c>
    </row>
    <row r="48" spans="1:7" x14ac:dyDescent="0.25">
      <c r="A48" s="166"/>
      <c r="B48" s="29" t="s">
        <v>76</v>
      </c>
      <c r="C48" s="78">
        <v>3.2035810200000001</v>
      </c>
      <c r="D48" s="79">
        <v>3.2023082899999999</v>
      </c>
      <c r="E48" s="114">
        <v>3.1746597900000002</v>
      </c>
      <c r="F48" s="1">
        <f t="shared" si="0"/>
        <v>3.1935163666666671</v>
      </c>
      <c r="G48" s="2">
        <f t="shared" si="1"/>
        <v>1.3343733188345509E-2</v>
      </c>
    </row>
    <row r="49" spans="1:7" x14ac:dyDescent="0.25">
      <c r="A49" s="166"/>
      <c r="B49" s="29" t="s">
        <v>77</v>
      </c>
      <c r="C49" s="78">
        <v>3.2131074599999998</v>
      </c>
      <c r="D49" s="79">
        <v>3.20359946</v>
      </c>
      <c r="E49" s="114">
        <v>3.1707198600000002</v>
      </c>
      <c r="F49" s="1">
        <f t="shared" si="0"/>
        <v>3.1958089266666665</v>
      </c>
      <c r="G49" s="2">
        <f t="shared" si="1"/>
        <v>1.816033159853871E-2</v>
      </c>
    </row>
    <row r="50" spans="1:7" x14ac:dyDescent="0.25">
      <c r="A50" s="166"/>
      <c r="B50" s="29" t="s">
        <v>78</v>
      </c>
      <c r="C50" s="78">
        <v>3.22127184</v>
      </c>
      <c r="D50" s="79">
        <v>3.2034132500000001</v>
      </c>
      <c r="E50" s="114">
        <v>3.1926106500000002</v>
      </c>
      <c r="F50" s="1">
        <f t="shared" si="0"/>
        <v>3.2057652466666671</v>
      </c>
      <c r="G50" s="2">
        <f t="shared" si="1"/>
        <v>1.1818484654529678E-2</v>
      </c>
    </row>
    <row r="51" spans="1:7" x14ac:dyDescent="0.25">
      <c r="A51" s="166"/>
      <c r="B51" s="29" t="s">
        <v>79</v>
      </c>
      <c r="C51" s="78">
        <v>3.2407703400000001</v>
      </c>
      <c r="D51" s="79">
        <v>3.2178095600000001</v>
      </c>
      <c r="E51" s="114">
        <v>3.2138164800000002</v>
      </c>
      <c r="F51" s="1">
        <f t="shared" si="0"/>
        <v>3.2241321266666669</v>
      </c>
      <c r="G51" s="2">
        <f t="shared" si="1"/>
        <v>1.1877395313949161E-2</v>
      </c>
    </row>
    <row r="52" spans="1:7" x14ac:dyDescent="0.25">
      <c r="A52" s="166"/>
      <c r="B52" s="29" t="s">
        <v>82</v>
      </c>
      <c r="C52" s="78">
        <v>3.0909944399999998</v>
      </c>
      <c r="D52" s="79">
        <v>3.0710608399999999</v>
      </c>
      <c r="E52" s="114">
        <v>3.07144394</v>
      </c>
      <c r="F52" s="1">
        <f t="shared" si="0"/>
        <v>3.0778330733333328</v>
      </c>
      <c r="G52" s="2">
        <f t="shared" si="1"/>
        <v>9.3078057136051599E-3</v>
      </c>
    </row>
    <row r="53" spans="1:7" x14ac:dyDescent="0.25">
      <c r="A53" s="166"/>
      <c r="B53" s="29" t="s">
        <v>83</v>
      </c>
      <c r="C53" s="78">
        <v>2.9760212699999999</v>
      </c>
      <c r="D53" s="79">
        <v>2.9622336800000002</v>
      </c>
      <c r="E53" s="114">
        <v>2.96414249</v>
      </c>
      <c r="F53" s="1">
        <f t="shared" si="0"/>
        <v>2.9674658133333334</v>
      </c>
      <c r="G53" s="2">
        <f t="shared" si="1"/>
        <v>6.099604795144895E-3</v>
      </c>
    </row>
    <row r="54" spans="1:7" x14ac:dyDescent="0.25">
      <c r="A54" s="166"/>
      <c r="B54" s="29" t="s">
        <v>84</v>
      </c>
      <c r="C54" s="78">
        <v>2.8303161800000001</v>
      </c>
      <c r="D54" s="79">
        <v>2.8274926200000001</v>
      </c>
      <c r="E54" s="114">
        <v>2.80985212</v>
      </c>
      <c r="F54" s="1">
        <f t="shared" si="0"/>
        <v>2.8225536400000002</v>
      </c>
      <c r="G54" s="2">
        <f t="shared" si="1"/>
        <v>9.0550015829632974E-3</v>
      </c>
    </row>
    <row r="55" spans="1:7" x14ac:dyDescent="0.25">
      <c r="A55" s="166"/>
      <c r="B55" s="29" t="s">
        <v>85</v>
      </c>
      <c r="C55" s="78">
        <v>2.480909</v>
      </c>
      <c r="D55" s="79">
        <v>2.49905212</v>
      </c>
      <c r="E55" s="114">
        <v>2.4456351999999999</v>
      </c>
      <c r="F55" s="1">
        <f t="shared" si="0"/>
        <v>2.4751987733333336</v>
      </c>
      <c r="G55" s="2">
        <f t="shared" si="1"/>
        <v>2.2178019929803415E-2</v>
      </c>
    </row>
    <row r="56" spans="1:7" ht="15.75" thickBot="1" x14ac:dyDescent="0.3">
      <c r="A56" s="167"/>
      <c r="B56" s="30" t="s">
        <v>86</v>
      </c>
      <c r="C56" s="81">
        <v>1.58049599</v>
      </c>
      <c r="D56" s="82">
        <v>1.6204893600000001</v>
      </c>
      <c r="E56" s="115">
        <v>1.64675766</v>
      </c>
      <c r="F56" s="1">
        <f t="shared" si="0"/>
        <v>1.6159143366666668</v>
      </c>
      <c r="G56" s="2">
        <f t="shared" si="1"/>
        <v>2.7243963939102001E-2</v>
      </c>
    </row>
    <row r="57" spans="1:7" ht="15.75" thickTop="1" x14ac:dyDescent="0.25">
      <c r="A57" s="165" t="s">
        <v>87</v>
      </c>
      <c r="B57" s="31">
        <v>0.9</v>
      </c>
      <c r="C57" s="84">
        <v>21.477644900000001</v>
      </c>
      <c r="D57" s="85">
        <v>27.835661999999999</v>
      </c>
      <c r="E57" s="112">
        <v>26.7244642</v>
      </c>
      <c r="F57" s="1">
        <f t="shared" si="0"/>
        <v>25.3459237</v>
      </c>
      <c r="G57" s="2">
        <f t="shared" si="1"/>
        <v>2.7726492497943926</v>
      </c>
    </row>
    <row r="58" spans="1:7" x14ac:dyDescent="0.25">
      <c r="A58" s="166"/>
      <c r="B58" s="32">
        <v>0.8</v>
      </c>
      <c r="C58" s="87">
        <v>22.488541300000001</v>
      </c>
      <c r="D58" s="88">
        <v>29.227070399999999</v>
      </c>
      <c r="E58" s="119">
        <v>27.8755174</v>
      </c>
      <c r="F58" s="1">
        <f t="shared" si="0"/>
        <v>26.530376366666662</v>
      </c>
      <c r="G58" s="2">
        <f t="shared" si="1"/>
        <v>2.9107841907356509</v>
      </c>
    </row>
    <row r="59" spans="1:7" x14ac:dyDescent="0.25">
      <c r="A59" s="166"/>
      <c r="B59" s="32">
        <v>0.7</v>
      </c>
      <c r="C59" s="78">
        <v>23.634117</v>
      </c>
      <c r="D59" s="79">
        <v>30.783368500000002</v>
      </c>
      <c r="E59" s="114">
        <v>29.508498700000001</v>
      </c>
      <c r="F59" s="1">
        <f t="shared" si="0"/>
        <v>27.975328066666666</v>
      </c>
      <c r="G59" s="2">
        <f t="shared" si="1"/>
        <v>3.1135091023634129</v>
      </c>
    </row>
    <row r="60" spans="1:7" x14ac:dyDescent="0.25">
      <c r="A60" s="166"/>
      <c r="B60" s="32">
        <v>0.6</v>
      </c>
      <c r="C60" s="78">
        <v>25.235403399999999</v>
      </c>
      <c r="D60" s="79">
        <v>32.8107957</v>
      </c>
      <c r="E60" s="114">
        <v>32.264439099999997</v>
      </c>
      <c r="F60" s="1">
        <f t="shared" si="0"/>
        <v>30.103546066666667</v>
      </c>
      <c r="G60" s="2">
        <f t="shared" si="1"/>
        <v>3.4495155361157583</v>
      </c>
    </row>
    <row r="61" spans="1:7" x14ac:dyDescent="0.25">
      <c r="A61" s="166"/>
      <c r="B61" s="32">
        <v>0.5</v>
      </c>
      <c r="C61" s="78">
        <v>28.016607799999999</v>
      </c>
      <c r="D61" s="79">
        <v>35.860553400000001</v>
      </c>
      <c r="E61" s="114">
        <v>36.6331007</v>
      </c>
      <c r="F61" s="1">
        <f t="shared" si="0"/>
        <v>33.503420633333334</v>
      </c>
      <c r="G61" s="2">
        <f t="shared" si="1"/>
        <v>3.8925607367308377</v>
      </c>
    </row>
    <row r="62" spans="1:7" x14ac:dyDescent="0.25">
      <c r="A62" s="166"/>
      <c r="B62" s="32">
        <v>0.4</v>
      </c>
      <c r="C62" s="78">
        <v>33.477356800000003</v>
      </c>
      <c r="D62" s="79">
        <v>41.098744199999999</v>
      </c>
      <c r="E62" s="114">
        <v>45.4953784</v>
      </c>
      <c r="F62" s="1">
        <f t="shared" si="0"/>
        <v>40.023826466666662</v>
      </c>
      <c r="G62" s="2">
        <f t="shared" si="1"/>
        <v>4.9648629987539001</v>
      </c>
    </row>
    <row r="63" spans="1:7" x14ac:dyDescent="0.25">
      <c r="A63" s="166"/>
      <c r="B63" s="32">
        <v>0.3</v>
      </c>
      <c r="C63" s="78">
        <v>47.407327100000003</v>
      </c>
      <c r="D63" s="79">
        <v>51.239340499999997</v>
      </c>
      <c r="E63" s="114">
        <v>65.992554299999995</v>
      </c>
      <c r="F63" s="1">
        <f t="shared" si="0"/>
        <v>54.879740633333334</v>
      </c>
      <c r="G63" s="2">
        <f t="shared" si="1"/>
        <v>8.0121596076208004</v>
      </c>
    </row>
    <row r="64" spans="1:7" x14ac:dyDescent="0.25">
      <c r="A64" s="166"/>
      <c r="B64" s="32">
        <v>0.2</v>
      </c>
      <c r="C64" s="78">
        <v>68.443283399999999</v>
      </c>
      <c r="D64" s="79">
        <v>69.626128499999993</v>
      </c>
      <c r="E64" s="114">
        <v>85.898034699999997</v>
      </c>
      <c r="F64" s="1">
        <f t="shared" si="0"/>
        <v>74.655815533333325</v>
      </c>
      <c r="G64" s="2">
        <f t="shared" si="1"/>
        <v>7.9641027733271645</v>
      </c>
    </row>
    <row r="65" spans="1:7" x14ac:dyDescent="0.25">
      <c r="A65" s="166"/>
      <c r="B65" s="32">
        <v>0.1</v>
      </c>
      <c r="C65" s="78">
        <v>80.002931399999994</v>
      </c>
      <c r="D65" s="79">
        <v>86.511566400000007</v>
      </c>
      <c r="E65" s="114">
        <v>94.672167200000004</v>
      </c>
      <c r="F65" s="1">
        <f t="shared" si="0"/>
        <v>87.062221666666673</v>
      </c>
      <c r="G65" s="2">
        <f t="shared" si="1"/>
        <v>6.0013351656683467</v>
      </c>
    </row>
    <row r="66" spans="1:7" x14ac:dyDescent="0.25">
      <c r="A66" s="166"/>
      <c r="B66" s="32">
        <v>0.5</v>
      </c>
      <c r="C66" s="78">
        <v>19.5298123</v>
      </c>
      <c r="D66" s="79">
        <v>28.083830899999999</v>
      </c>
      <c r="E66" s="114">
        <v>24.968463499999999</v>
      </c>
      <c r="F66" s="1">
        <f t="shared" si="0"/>
        <v>24.194035566666667</v>
      </c>
      <c r="G66" s="2">
        <f t="shared" si="1"/>
        <v>3.5348373390423249</v>
      </c>
    </row>
    <row r="67" spans="1:7" ht="15.75" thickBot="1" x14ac:dyDescent="0.3">
      <c r="A67" s="167"/>
      <c r="B67" s="33">
        <v>0.2</v>
      </c>
      <c r="C67" s="81">
        <v>40.903203599999998</v>
      </c>
      <c r="D67" s="82">
        <v>51.457508300000001</v>
      </c>
      <c r="E67" s="115">
        <v>53.022404199999997</v>
      </c>
      <c r="F67" s="1">
        <f t="shared" si="0"/>
        <v>48.461038699999996</v>
      </c>
      <c r="G67" s="2">
        <f t="shared" si="1"/>
        <v>5.3822472594975785</v>
      </c>
    </row>
    <row r="68" spans="1:7" ht="15.75" thickTop="1" x14ac:dyDescent="0.25">
      <c r="A68" s="165" t="s">
        <v>88</v>
      </c>
      <c r="B68" s="31">
        <v>0.9</v>
      </c>
      <c r="C68" s="78">
        <v>21.8680269</v>
      </c>
      <c r="D68" s="79">
        <v>28.474309999999999</v>
      </c>
      <c r="E68" s="114">
        <v>27.249171100000002</v>
      </c>
      <c r="F68" s="1">
        <f t="shared" si="0"/>
        <v>25.863836000000003</v>
      </c>
      <c r="G68" s="2">
        <f t="shared" si="1"/>
        <v>2.8693912366917718</v>
      </c>
    </row>
    <row r="69" spans="1:7" x14ac:dyDescent="0.25">
      <c r="A69" s="166"/>
      <c r="B69" s="32">
        <v>0.8</v>
      </c>
      <c r="C69" s="78">
        <v>22.903802599999999</v>
      </c>
      <c r="D69" s="79">
        <v>29.7972641</v>
      </c>
      <c r="E69" s="114">
        <v>28.429369699999999</v>
      </c>
      <c r="F69" s="1">
        <f t="shared" si="0"/>
        <v>27.043478799999999</v>
      </c>
      <c r="G69" s="2">
        <f t="shared" si="1"/>
        <v>2.9799858000805641</v>
      </c>
    </row>
    <row r="70" spans="1:7" x14ac:dyDescent="0.25">
      <c r="A70" s="166"/>
      <c r="B70" s="32">
        <v>0.7</v>
      </c>
      <c r="C70" s="78">
        <v>24.074107399999999</v>
      </c>
      <c r="D70" s="79">
        <v>31.4362113</v>
      </c>
      <c r="E70" s="114">
        <v>30.197211899999999</v>
      </c>
      <c r="F70" s="1">
        <f t="shared" si="0"/>
        <v>28.569176866666666</v>
      </c>
      <c r="G70" s="2">
        <f t="shared" si="1"/>
        <v>3.2184900197576347</v>
      </c>
    </row>
    <row r="71" spans="1:7" x14ac:dyDescent="0.25">
      <c r="A71" s="166"/>
      <c r="B71" s="32">
        <v>0.6</v>
      </c>
      <c r="C71" s="78">
        <v>25.615996299999999</v>
      </c>
      <c r="D71" s="79">
        <v>33.5058291</v>
      </c>
      <c r="E71" s="114">
        <v>33.000089699999997</v>
      </c>
      <c r="F71" s="1">
        <f t="shared" si="0"/>
        <v>30.707305033333331</v>
      </c>
      <c r="G71" s="2">
        <f t="shared" si="1"/>
        <v>3.6060145635466077</v>
      </c>
    </row>
    <row r="72" spans="1:7" x14ac:dyDescent="0.25">
      <c r="A72" s="166"/>
      <c r="B72" s="32">
        <v>0.5</v>
      </c>
      <c r="C72" s="78">
        <v>28.372148599999999</v>
      </c>
      <c r="D72" s="79">
        <v>36.651625699999997</v>
      </c>
      <c r="E72" s="114">
        <v>37.705472399999998</v>
      </c>
      <c r="F72" s="1">
        <f t="shared" si="0"/>
        <v>34.243082233333332</v>
      </c>
      <c r="G72" s="2">
        <f t="shared" si="1"/>
        <v>4.1736111072649527</v>
      </c>
    </row>
    <row r="73" spans="1:7" x14ac:dyDescent="0.25">
      <c r="A73" s="166"/>
      <c r="B73" s="32">
        <v>0.4</v>
      </c>
      <c r="C73" s="78">
        <v>34.123284200000001</v>
      </c>
      <c r="D73" s="79">
        <v>42.095778600000003</v>
      </c>
      <c r="E73" s="114">
        <v>46.978787799999999</v>
      </c>
      <c r="F73" s="1">
        <f t="shared" si="0"/>
        <v>41.065950200000003</v>
      </c>
      <c r="G73" s="2">
        <f t="shared" si="1"/>
        <v>5.2985157105544065</v>
      </c>
    </row>
    <row r="74" spans="1:7" x14ac:dyDescent="0.25">
      <c r="A74" s="166"/>
      <c r="B74" s="32">
        <v>0.3</v>
      </c>
      <c r="C74" s="78">
        <v>48.238005800000003</v>
      </c>
      <c r="D74" s="79">
        <v>52.495074099999997</v>
      </c>
      <c r="E74" s="114">
        <v>66.801296899999997</v>
      </c>
      <c r="F74" s="1">
        <f t="shared" si="0"/>
        <v>55.844792266666673</v>
      </c>
      <c r="G74" s="2">
        <f t="shared" si="1"/>
        <v>7.9399581427488508</v>
      </c>
    </row>
    <row r="75" spans="1:7" x14ac:dyDescent="0.25">
      <c r="A75" s="166"/>
      <c r="B75" s="32">
        <v>0.2</v>
      </c>
      <c r="C75" s="78">
        <v>70.182073399999993</v>
      </c>
      <c r="D75" s="79">
        <v>72.697427500000003</v>
      </c>
      <c r="E75" s="114">
        <v>84.693562400000005</v>
      </c>
      <c r="F75" s="1">
        <f t="shared" si="0"/>
        <v>75.857687766666672</v>
      </c>
      <c r="G75" s="2">
        <f t="shared" si="1"/>
        <v>6.3317328836101083</v>
      </c>
    </row>
    <row r="76" spans="1:7" x14ac:dyDescent="0.25">
      <c r="A76" s="166"/>
      <c r="B76" s="32">
        <v>0.1</v>
      </c>
      <c r="C76" s="78">
        <v>132.88871399999999</v>
      </c>
      <c r="D76" s="79">
        <v>114.946316</v>
      </c>
      <c r="E76" s="114">
        <v>149.36791099999999</v>
      </c>
      <c r="F76" s="1">
        <f t="shared" si="0"/>
        <v>132.40098033333334</v>
      </c>
      <c r="G76" s="2">
        <f t="shared" si="1"/>
        <v>14.056788720121595</v>
      </c>
    </row>
    <row r="77" spans="1:7" x14ac:dyDescent="0.25">
      <c r="A77" s="166"/>
      <c r="B77" s="32">
        <v>0.5</v>
      </c>
      <c r="C77" s="78">
        <v>19.542790100000001</v>
      </c>
      <c r="D77" s="79">
        <v>28.393407499999999</v>
      </c>
      <c r="E77" s="114">
        <v>25.083574200000001</v>
      </c>
      <c r="F77" s="1">
        <f t="shared" ref="F77:F138" si="2">AVERAGE(C77:E77)</f>
        <v>24.339923933333335</v>
      </c>
      <c r="G77" s="2">
        <f t="shared" ref="G77:G138" si="3">_xlfn.STDEV.P(C77:E77)</f>
        <v>3.6513119906531144</v>
      </c>
    </row>
    <row r="78" spans="1:7" ht="15.75" thickBot="1" x14ac:dyDescent="0.3">
      <c r="A78" s="167"/>
      <c r="B78" s="33">
        <v>0.2</v>
      </c>
      <c r="C78" s="81">
        <v>47.648675099999998</v>
      </c>
      <c r="D78" s="82">
        <v>59.247647899999997</v>
      </c>
      <c r="E78" s="115">
        <v>63.959679700000002</v>
      </c>
      <c r="F78" s="1">
        <f t="shared" si="2"/>
        <v>56.952000900000002</v>
      </c>
      <c r="G78" s="2">
        <f t="shared" si="3"/>
        <v>6.8539387278051764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1.9968768000000001E-2</v>
      </c>
      <c r="D80">
        <f>D25</f>
        <v>1.9657248000000002E-2</v>
      </c>
      <c r="E80">
        <f>E25</f>
        <v>1.9665984000000001E-2</v>
      </c>
      <c r="F80" s="1">
        <f t="shared" si="2"/>
        <v>1.9764E-2</v>
      </c>
      <c r="G80" s="2">
        <f t="shared" si="3"/>
        <v>1.4483675820730027E-4</v>
      </c>
    </row>
    <row r="81" spans="1:7" ht="15.75" thickTop="1" x14ac:dyDescent="0.25">
      <c r="A81" s="161" t="s">
        <v>90</v>
      </c>
      <c r="B81" s="38" t="s">
        <v>73</v>
      </c>
      <c r="C81">
        <f>C33/C80</f>
        <v>183.18274467408304</v>
      </c>
      <c r="D81">
        <f>D33/D80</f>
        <v>229.37699570153461</v>
      </c>
      <c r="E81">
        <f>E33/E80</f>
        <v>179.45536923044381</v>
      </c>
      <c r="F81" s="1">
        <f t="shared" si="2"/>
        <v>197.33836986868718</v>
      </c>
      <c r="G81" s="2">
        <f t="shared" si="3"/>
        <v>22.7057773979421</v>
      </c>
    </row>
    <row r="82" spans="1:7" x14ac:dyDescent="0.25">
      <c r="A82" s="162"/>
      <c r="B82" s="38" t="s">
        <v>74</v>
      </c>
      <c r="C82">
        <f>C34/C80</f>
        <v>167.98710916967934</v>
      </c>
      <c r="D82">
        <f>D34/D80</f>
        <v>170.9790938182191</v>
      </c>
      <c r="E82">
        <f>E34/E80</f>
        <v>168.3704929282969</v>
      </c>
      <c r="F82" s="1">
        <f t="shared" si="2"/>
        <v>169.11223197206513</v>
      </c>
      <c r="G82" s="2">
        <f t="shared" si="3"/>
        <v>1.3293170279162232</v>
      </c>
    </row>
    <row r="83" spans="1:7" x14ac:dyDescent="0.25">
      <c r="A83" s="162"/>
      <c r="B83" s="38" t="s">
        <v>75</v>
      </c>
      <c r="C83">
        <f>C35/C80</f>
        <v>159.8551472980206</v>
      </c>
      <c r="D83">
        <f>D35/D80</f>
        <v>163.42095851871022</v>
      </c>
      <c r="E83">
        <f>E35/E80</f>
        <v>160.53306257139229</v>
      </c>
      <c r="F83" s="1">
        <f t="shared" si="2"/>
        <v>161.26972279604104</v>
      </c>
      <c r="G83" s="2">
        <f t="shared" si="3"/>
        <v>1.5461249691478505</v>
      </c>
    </row>
    <row r="84" spans="1:7" x14ac:dyDescent="0.25">
      <c r="A84" s="162"/>
      <c r="B84" s="38" t="s">
        <v>76</v>
      </c>
      <c r="C84">
        <f>C36/C80</f>
        <v>160.52917435867849</v>
      </c>
      <c r="D84">
        <f>D36/D80</f>
        <v>163.53579656725091</v>
      </c>
      <c r="E84">
        <f>E36/E80</f>
        <v>161.34981041375809</v>
      </c>
      <c r="F84" s="1">
        <f t="shared" si="2"/>
        <v>161.80492711322916</v>
      </c>
      <c r="G84" s="2">
        <f t="shared" si="3"/>
        <v>1.2689346407842317</v>
      </c>
    </row>
    <row r="85" spans="1:7" x14ac:dyDescent="0.25">
      <c r="A85" s="162"/>
      <c r="B85" s="38" t="s">
        <v>77</v>
      </c>
      <c r="C85">
        <f>C37/C80</f>
        <v>161.00913236109508</v>
      </c>
      <c r="D85">
        <f>D37/D80</f>
        <v>163.56207389762798</v>
      </c>
      <c r="E85">
        <f>E37/E80</f>
        <v>161.90855133412089</v>
      </c>
      <c r="F85" s="1">
        <f t="shared" si="2"/>
        <v>162.15991919761464</v>
      </c>
      <c r="G85" s="2">
        <f t="shared" si="3"/>
        <v>1.0572817266735814</v>
      </c>
    </row>
    <row r="86" spans="1:7" x14ac:dyDescent="0.25">
      <c r="A86" s="162"/>
      <c r="B86" s="38" t="s">
        <v>78</v>
      </c>
      <c r="C86">
        <f>C38/C80</f>
        <v>161.48420223020267</v>
      </c>
      <c r="D86">
        <f>D38/D80</f>
        <v>163.59657516657467</v>
      </c>
      <c r="E86">
        <f>E38/E80</f>
        <v>161.77281797849523</v>
      </c>
      <c r="F86" s="1">
        <f t="shared" si="2"/>
        <v>162.28453179175753</v>
      </c>
      <c r="G86" s="2">
        <f t="shared" si="3"/>
        <v>0.93520697373782535</v>
      </c>
    </row>
    <row r="87" spans="1:7" x14ac:dyDescent="0.25">
      <c r="A87" s="162"/>
      <c r="B87" s="38" t="s">
        <v>79</v>
      </c>
      <c r="C87">
        <f>C39/C80</f>
        <v>162.6055468219171</v>
      </c>
      <c r="D87">
        <f>D39/D80</f>
        <v>164.56178809973807</v>
      </c>
      <c r="E87">
        <f>E39/E80</f>
        <v>163.58153855916896</v>
      </c>
      <c r="F87" s="1">
        <f t="shared" si="2"/>
        <v>163.5829578269414</v>
      </c>
      <c r="G87" s="2">
        <f t="shared" si="3"/>
        <v>0.79863278795844073</v>
      </c>
    </row>
    <row r="88" spans="1:7" x14ac:dyDescent="0.25">
      <c r="A88" s="162"/>
      <c r="B88" s="38" t="s">
        <v>80</v>
      </c>
      <c r="C88">
        <f>C40/C80</f>
        <v>162.26113749230797</v>
      </c>
      <c r="D88">
        <f>D40/D80</f>
        <v>163.54194442680887</v>
      </c>
      <c r="E88">
        <f>E40/E80</f>
        <v>163.28559608306404</v>
      </c>
      <c r="F88" s="1">
        <f t="shared" si="2"/>
        <v>163.02955933406028</v>
      </c>
      <c r="G88" s="2">
        <f t="shared" si="3"/>
        <v>0.5533430000139784</v>
      </c>
    </row>
    <row r="89" spans="1:7" x14ac:dyDescent="0.25">
      <c r="A89" s="162"/>
      <c r="B89" s="38" t="s">
        <v>80</v>
      </c>
      <c r="C89">
        <f>C41/C80</f>
        <v>155.55601226875888</v>
      </c>
      <c r="D89">
        <f>D41/D80</f>
        <v>157.01022136974615</v>
      </c>
      <c r="E89">
        <f>E41/E80</f>
        <v>156.82101541422995</v>
      </c>
      <c r="F89" s="1">
        <f t="shared" si="2"/>
        <v>156.46241635091167</v>
      </c>
      <c r="G89" s="2">
        <f t="shared" si="3"/>
        <v>0.64556228385706138</v>
      </c>
    </row>
    <row r="90" spans="1:7" x14ac:dyDescent="0.25">
      <c r="A90" s="162"/>
      <c r="B90" s="38" t="s">
        <v>80</v>
      </c>
      <c r="C90">
        <f>C42/C80</f>
        <v>149.55648540761251</v>
      </c>
      <c r="D90">
        <f>D42/D80</f>
        <v>151.2485109818017</v>
      </c>
      <c r="E90">
        <f>E42/E80</f>
        <v>151.17868193119651</v>
      </c>
      <c r="F90" s="1">
        <f t="shared" si="2"/>
        <v>150.66122610687023</v>
      </c>
      <c r="G90" s="2">
        <f t="shared" si="3"/>
        <v>0.7816896372706349</v>
      </c>
    </row>
    <row r="91" spans="1:7" x14ac:dyDescent="0.25">
      <c r="A91" s="162"/>
      <c r="B91" s="38" t="s">
        <v>80</v>
      </c>
      <c r="C91">
        <f>C43/C80</f>
        <v>132.59165362630281</v>
      </c>
      <c r="D91">
        <f>D43/D80</f>
        <v>133.80307050101823</v>
      </c>
      <c r="E91">
        <f>E43/E80</f>
        <v>133.48927417005933</v>
      </c>
      <c r="F91" s="1">
        <f t="shared" si="2"/>
        <v>133.2946660991268</v>
      </c>
      <c r="G91" s="2">
        <f t="shared" si="3"/>
        <v>0.51334649574491564</v>
      </c>
    </row>
    <row r="92" spans="1:7" ht="15.75" thickBot="1" x14ac:dyDescent="0.3">
      <c r="A92" s="163"/>
      <c r="B92" s="39" t="s">
        <v>80</v>
      </c>
      <c r="C92">
        <f>C44/C80</f>
        <v>124.82491458661846</v>
      </c>
      <c r="D92">
        <f>D44/D80</f>
        <v>127.66920781586515</v>
      </c>
      <c r="E92">
        <f>E44/E80</f>
        <v>124.82890406094096</v>
      </c>
      <c r="F92" s="1">
        <f t="shared" si="2"/>
        <v>125.77434215447487</v>
      </c>
      <c r="G92" s="2">
        <f t="shared" si="3"/>
        <v>1.3398733484956451</v>
      </c>
    </row>
    <row r="93" spans="1:7" ht="15.75" thickTop="1" x14ac:dyDescent="0.25">
      <c r="A93" s="161" t="s">
        <v>91</v>
      </c>
      <c r="B93" s="40" t="s">
        <v>73</v>
      </c>
      <c r="C93">
        <f>C45/C80</f>
        <v>166.49487439585656</v>
      </c>
      <c r="D93">
        <f>D45/D80</f>
        <v>169.33928085966048</v>
      </c>
      <c r="E93">
        <f>E45/E80</f>
        <v>163.15752163736124</v>
      </c>
      <c r="F93" s="1">
        <f t="shared" si="2"/>
        <v>166.33055896429275</v>
      </c>
      <c r="G93" s="2">
        <f t="shared" si="3"/>
        <v>2.5263658274826191</v>
      </c>
    </row>
    <row r="94" spans="1:7" x14ac:dyDescent="0.25">
      <c r="A94" s="162"/>
      <c r="B94" s="38" t="s">
        <v>74</v>
      </c>
      <c r="C94">
        <f>C46/C80</f>
        <v>159.23476851451224</v>
      </c>
      <c r="D94">
        <f>D46/D80</f>
        <v>162.64145164165402</v>
      </c>
      <c r="E94">
        <f>E46/E80</f>
        <v>159.96280481058054</v>
      </c>
      <c r="F94" s="1">
        <f t="shared" si="2"/>
        <v>160.61300832224893</v>
      </c>
      <c r="G94" s="2">
        <f t="shared" si="3"/>
        <v>1.4647971275066387</v>
      </c>
    </row>
    <row r="95" spans="1:7" x14ac:dyDescent="0.25">
      <c r="A95" s="162"/>
      <c r="B95" s="38" t="s">
        <v>75</v>
      </c>
      <c r="C95">
        <f>C47/C80</f>
        <v>159.9160038315834</v>
      </c>
      <c r="D95">
        <f>D47/D80</f>
        <v>162.84539473684208</v>
      </c>
      <c r="E95">
        <f>E47/E80</f>
        <v>160.78657391361654</v>
      </c>
      <c r="F95" s="1">
        <f t="shared" si="2"/>
        <v>161.18265749401402</v>
      </c>
      <c r="G95" s="2">
        <f t="shared" si="3"/>
        <v>1.2282764132307336</v>
      </c>
    </row>
    <row r="96" spans="1:7" x14ac:dyDescent="0.25">
      <c r="A96" s="162"/>
      <c r="B96" s="38" t="s">
        <v>76</v>
      </c>
      <c r="C96">
        <f>C48/C80</f>
        <v>160.42957782873737</v>
      </c>
      <c r="D96">
        <f>D48/D80</f>
        <v>162.90725385364215</v>
      </c>
      <c r="E96">
        <f>E48/E80</f>
        <v>161.42898265349956</v>
      </c>
      <c r="F96" s="1">
        <f t="shared" si="2"/>
        <v>161.58860477862638</v>
      </c>
      <c r="G96" s="2">
        <f t="shared" si="3"/>
        <v>1.0177848620802221</v>
      </c>
    </row>
    <row r="97" spans="1:7" x14ac:dyDescent="0.25">
      <c r="A97" s="162"/>
      <c r="B97" s="38" t="s">
        <v>77</v>
      </c>
      <c r="C97">
        <f>C49/C80</f>
        <v>160.90664481654551</v>
      </c>
      <c r="D97">
        <f>D49/D80</f>
        <v>162.97293802265708</v>
      </c>
      <c r="E97">
        <f>E49/E80</f>
        <v>161.2286402755133</v>
      </c>
      <c r="F97" s="1">
        <f t="shared" si="2"/>
        <v>161.70274103823863</v>
      </c>
      <c r="G97" s="2">
        <f t="shared" si="3"/>
        <v>0.90773364423647895</v>
      </c>
    </row>
    <row r="98" spans="1:7" x14ac:dyDescent="0.25">
      <c r="A98" s="162"/>
      <c r="B98" s="38" t="s">
        <v>78</v>
      </c>
      <c r="C98">
        <f>C50/C80</f>
        <v>161.31550228837352</v>
      </c>
      <c r="D98">
        <f>D50/D80</f>
        <v>162.9634651808839</v>
      </c>
      <c r="E98">
        <f>E50/E80</f>
        <v>162.34176993126812</v>
      </c>
      <c r="F98" s="1">
        <f t="shared" si="2"/>
        <v>162.20691246684183</v>
      </c>
      <c r="G98" s="2">
        <f t="shared" si="3"/>
        <v>0.67950242852467924</v>
      </c>
    </row>
    <row r="99" spans="1:7" x14ac:dyDescent="0.25">
      <c r="A99" s="162"/>
      <c r="B99" s="38" t="s">
        <v>79</v>
      </c>
      <c r="C99">
        <f>C51/C80</f>
        <v>162.29195211241876</v>
      </c>
      <c r="D99">
        <f>D51/D80</f>
        <v>163.69583168508632</v>
      </c>
      <c r="E99">
        <f>E51/E80</f>
        <v>163.42006990344342</v>
      </c>
      <c r="F99" s="1">
        <f t="shared" si="2"/>
        <v>163.13595123364951</v>
      </c>
      <c r="G99" s="2">
        <f t="shared" si="3"/>
        <v>0.60732310320642091</v>
      </c>
    </row>
    <row r="100" spans="1:7" x14ac:dyDescent="0.25">
      <c r="A100" s="162"/>
      <c r="B100" s="38" t="s">
        <v>82</v>
      </c>
      <c r="C100">
        <f>C52/C80</f>
        <v>154.79144431944923</v>
      </c>
      <c r="D100">
        <f>D52/D80</f>
        <v>156.23045708127606</v>
      </c>
      <c r="E100">
        <f>E52/E80</f>
        <v>156.18053691084054</v>
      </c>
      <c r="F100" s="1">
        <f t="shared" si="2"/>
        <v>155.73414610385527</v>
      </c>
      <c r="G100" s="2">
        <f t="shared" si="3"/>
        <v>0.66690228999248968</v>
      </c>
    </row>
    <row r="101" spans="1:7" x14ac:dyDescent="0.25">
      <c r="A101" s="162"/>
      <c r="B101" s="38" t="s">
        <v>83</v>
      </c>
      <c r="C101">
        <f>C53/C80</f>
        <v>149.03379467376254</v>
      </c>
      <c r="D101">
        <f>D53/D80</f>
        <v>150.69422128672335</v>
      </c>
      <c r="E101">
        <f>E53/E80</f>
        <v>150.7243415839248</v>
      </c>
      <c r="F101" s="1">
        <f t="shared" si="2"/>
        <v>150.15078584813691</v>
      </c>
      <c r="G101" s="2">
        <f t="shared" si="3"/>
        <v>0.78992774808777011</v>
      </c>
    </row>
    <row r="102" spans="1:7" x14ac:dyDescent="0.25">
      <c r="A102" s="162"/>
      <c r="B102" s="38" t="s">
        <v>84</v>
      </c>
      <c r="C102">
        <f>C54/C80</f>
        <v>141.73714572676693</v>
      </c>
      <c r="D102">
        <f>D54/D80</f>
        <v>143.83969821207933</v>
      </c>
      <c r="E102">
        <f>E54/E80</f>
        <v>142.87879619956976</v>
      </c>
      <c r="F102" s="1">
        <f t="shared" si="2"/>
        <v>142.81854671280533</v>
      </c>
      <c r="G102" s="2">
        <f t="shared" si="3"/>
        <v>0.85942005207576699</v>
      </c>
    </row>
    <row r="103" spans="1:7" x14ac:dyDescent="0.25">
      <c r="A103" s="162"/>
      <c r="B103" s="38" t="s">
        <v>85</v>
      </c>
      <c r="C103">
        <f>C55/C80</f>
        <v>124.239462344397</v>
      </c>
      <c r="D103">
        <f>D55/D80</f>
        <v>127.13133191380602</v>
      </c>
      <c r="E103">
        <f>E55/E80</f>
        <v>124.35864892394908</v>
      </c>
      <c r="F103" s="1">
        <f t="shared" si="2"/>
        <v>125.24314772738404</v>
      </c>
      <c r="G103" s="2">
        <f t="shared" si="3"/>
        <v>1.3360341815928929</v>
      </c>
    </row>
    <row r="104" spans="1:7" ht="15.75" thickBot="1" x14ac:dyDescent="0.3">
      <c r="A104" s="163"/>
      <c r="B104" s="39" t="s">
        <v>86</v>
      </c>
      <c r="C104">
        <f>C56/C80</f>
        <v>79.148397637751103</v>
      </c>
      <c r="D104">
        <f>D56/D80</f>
        <v>82.437244521715343</v>
      </c>
      <c r="E104">
        <f>E56/E80</f>
        <v>83.736346983705459</v>
      </c>
      <c r="F104" s="1">
        <f t="shared" si="2"/>
        <v>81.773996381057302</v>
      </c>
      <c r="G104" s="2">
        <f t="shared" si="3"/>
        <v>1.9308449570633601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0.76553064232252876</v>
      </c>
      <c r="D106">
        <f>D55/D51</f>
        <v>0.77663145484594809</v>
      </c>
      <c r="E106">
        <f>E55/E51</f>
        <v>0.76097537467354071</v>
      </c>
      <c r="F106" s="1">
        <f t="shared" si="2"/>
        <v>0.76771249061400582</v>
      </c>
      <c r="G106" s="2">
        <f t="shared" si="3"/>
        <v>6.5751328537390543E-3</v>
      </c>
    </row>
    <row r="107" spans="1:7" ht="15.75" thickBot="1" x14ac:dyDescent="0.3">
      <c r="A107" s="36"/>
      <c r="B107" s="39" t="s">
        <v>94</v>
      </c>
      <c r="C107">
        <f>(1-C45/C33)*100</f>
        <v>9.1099575497230241</v>
      </c>
      <c r="D107">
        <f>(1-D45/D33)*100</f>
        <v>26.174252853148015</v>
      </c>
      <c r="E107">
        <f>(1-E45/E33)*100</f>
        <v>9.0818389346456474</v>
      </c>
      <c r="F107" s="1">
        <f t="shared" si="2"/>
        <v>14.788683112505561</v>
      </c>
      <c r="G107" s="2">
        <f t="shared" si="3"/>
        <v>8.0508217552994079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7.2217488000000003E-3</v>
      </c>
      <c r="D110">
        <f>D16*D21/10^4</f>
        <v>7.0498024000000001E-3</v>
      </c>
      <c r="E110">
        <f>E16*E21/10^4</f>
        <v>7.0498024000000001E-3</v>
      </c>
      <c r="F110" s="1">
        <f t="shared" si="2"/>
        <v>7.107117866666666E-3</v>
      </c>
      <c r="G110" s="2">
        <f t="shared" si="3"/>
        <v>8.1056310293743151E-5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506.51633438150049</v>
      </c>
      <c r="D111">
        <f>D33/D110</f>
        <v>639.58111648632882</v>
      </c>
      <c r="E111">
        <f>E33/E110</f>
        <v>500.60501270219999</v>
      </c>
      <c r="F111" s="1">
        <f t="shared" si="2"/>
        <v>548.90082119000976</v>
      </c>
      <c r="G111" s="2">
        <f t="shared" si="3"/>
        <v>64.166049679820532</v>
      </c>
    </row>
    <row r="112" spans="1:7" x14ac:dyDescent="0.25">
      <c r="A112" s="162"/>
      <c r="B112" s="38" t="s">
        <v>74</v>
      </c>
      <c r="C112">
        <f>C34/C110</f>
        <v>464.49907119450069</v>
      </c>
      <c r="D112">
        <f>D34/D110</f>
        <v>476.74789438069928</v>
      </c>
      <c r="E112">
        <f>E34/E110</f>
        <v>469.68286940921917</v>
      </c>
      <c r="F112" s="1">
        <f t="shared" si="2"/>
        <v>470.30994499480636</v>
      </c>
      <c r="G112" s="2">
        <f t="shared" si="3"/>
        <v>5.020181617180711</v>
      </c>
    </row>
    <row r="113" spans="1:7" x14ac:dyDescent="0.25">
      <c r="A113" s="162"/>
      <c r="B113" s="38" t="s">
        <v>75</v>
      </c>
      <c r="C113">
        <f>C35/C110</f>
        <v>442.01348432390779</v>
      </c>
      <c r="D113">
        <f>D35/D110</f>
        <v>455.67324128120242</v>
      </c>
      <c r="E113">
        <f>E35/E110</f>
        <v>447.81973463539913</v>
      </c>
      <c r="F113" s="1">
        <f t="shared" si="2"/>
        <v>448.50215341350309</v>
      </c>
      <c r="G113" s="2">
        <f t="shared" si="3"/>
        <v>5.5974108046858886</v>
      </c>
    </row>
    <row r="114" spans="1:7" x14ac:dyDescent="0.25">
      <c r="A114" s="162"/>
      <c r="B114" s="38" t="s">
        <v>76</v>
      </c>
      <c r="C114">
        <f>C36/C110</f>
        <v>443.87722818605926</v>
      </c>
      <c r="D114">
        <f>D36/D110</f>
        <v>455.99344883765821</v>
      </c>
      <c r="E114">
        <f>E36/E110</f>
        <v>450.09811764369454</v>
      </c>
      <c r="F114" s="1">
        <f t="shared" si="2"/>
        <v>449.9895982224707</v>
      </c>
      <c r="G114" s="2">
        <f t="shared" si="3"/>
        <v>4.9470215327437375</v>
      </c>
    </row>
    <row r="115" spans="1:7" x14ac:dyDescent="0.25">
      <c r="A115" s="162"/>
      <c r="B115" s="38" t="s">
        <v>77</v>
      </c>
      <c r="C115">
        <f>C37/C110</f>
        <v>445.20435410326093</v>
      </c>
      <c r="D115">
        <f>D37/D110</f>
        <v>456.06671897640706</v>
      </c>
      <c r="E115">
        <f>E37/E110</f>
        <v>451.65676984081142</v>
      </c>
      <c r="F115" s="1">
        <f t="shared" si="2"/>
        <v>450.9759476401598</v>
      </c>
      <c r="G115" s="2">
        <f t="shared" si="3"/>
        <v>4.4605965080180958</v>
      </c>
    </row>
    <row r="116" spans="1:7" x14ac:dyDescent="0.25">
      <c r="A116" s="162"/>
      <c r="B116" s="38" t="s">
        <v>78</v>
      </c>
      <c r="C116">
        <f>C38/C110</f>
        <v>446.51796390370151</v>
      </c>
      <c r="D116">
        <f>D38/D110</f>
        <v>456.16292025433222</v>
      </c>
      <c r="E116">
        <f>E38/E110</f>
        <v>451.27813085938408</v>
      </c>
      <c r="F116" s="1">
        <f t="shared" si="2"/>
        <v>451.31967167247257</v>
      </c>
      <c r="G116" s="2">
        <f t="shared" si="3"/>
        <v>3.9376465035819681</v>
      </c>
    </row>
    <row r="117" spans="1:7" x14ac:dyDescent="0.25">
      <c r="A117" s="162"/>
      <c r="B117" s="38" t="s">
        <v>79</v>
      </c>
      <c r="C117">
        <f>C39/C110</f>
        <v>449.6185799206973</v>
      </c>
      <c r="D117">
        <f>D39/D110</f>
        <v>458.85426235492787</v>
      </c>
      <c r="E117">
        <f>E39/E110</f>
        <v>456.32370064726916</v>
      </c>
      <c r="F117" s="1">
        <f t="shared" si="2"/>
        <v>454.93218097429809</v>
      </c>
      <c r="G117" s="2">
        <f t="shared" si="3"/>
        <v>3.8967253565601179</v>
      </c>
    </row>
    <row r="118" spans="1:7" x14ac:dyDescent="0.25">
      <c r="A118" s="162"/>
      <c r="B118" s="38" t="s">
        <v>80</v>
      </c>
      <c r="C118">
        <f>C40/C110</f>
        <v>448.66625795679846</v>
      </c>
      <c r="D118">
        <f>D40/D110</f>
        <v>456.01059116210121</v>
      </c>
      <c r="E118">
        <f>E40/E110</f>
        <v>455.49814559341405</v>
      </c>
      <c r="F118" s="1">
        <f t="shared" si="2"/>
        <v>453.39166490410457</v>
      </c>
      <c r="G118" s="2">
        <f t="shared" si="3"/>
        <v>3.3479101171181833</v>
      </c>
    </row>
    <row r="119" spans="1:7" x14ac:dyDescent="0.25">
      <c r="A119" s="162"/>
      <c r="B119" s="38" t="s">
        <v>80</v>
      </c>
      <c r="C119">
        <f>C41/C110</f>
        <v>430.12599939781899</v>
      </c>
      <c r="D119">
        <f>D41/D110</f>
        <v>437.79792466239905</v>
      </c>
      <c r="E119">
        <f>E41/E110</f>
        <v>437.46468411653632</v>
      </c>
      <c r="F119" s="1">
        <f t="shared" si="2"/>
        <v>435.12953605891812</v>
      </c>
      <c r="G119" s="2">
        <f t="shared" si="3"/>
        <v>3.5406493429477046</v>
      </c>
    </row>
    <row r="120" spans="1:7" x14ac:dyDescent="0.25">
      <c r="A120" s="162"/>
      <c r="B120" s="38" t="s">
        <v>80</v>
      </c>
      <c r="C120">
        <f>C42/C110</f>
        <v>413.53678211571133</v>
      </c>
      <c r="D120">
        <f>D42/D110</f>
        <v>421.7323155043324</v>
      </c>
      <c r="E120">
        <f>E42/E110</f>
        <v>421.72494650346511</v>
      </c>
      <c r="F120" s="1">
        <f t="shared" si="2"/>
        <v>418.99801470783632</v>
      </c>
      <c r="G120" s="2">
        <f t="shared" si="3"/>
        <v>3.8616757713467074</v>
      </c>
    </row>
    <row r="121" spans="1:7" x14ac:dyDescent="0.25">
      <c r="A121" s="162"/>
      <c r="B121" s="38" t="s">
        <v>80</v>
      </c>
      <c r="C121">
        <f>C43/C110</f>
        <v>366.62753625548424</v>
      </c>
      <c r="D121">
        <f>D43/D110</f>
        <v>373.08849110437478</v>
      </c>
      <c r="E121">
        <f>E43/E110</f>
        <v>372.37893788342211</v>
      </c>
      <c r="F121" s="1">
        <f t="shared" si="2"/>
        <v>370.69832174776042</v>
      </c>
      <c r="G121" s="2">
        <f t="shared" si="3"/>
        <v>2.8930188772785965</v>
      </c>
    </row>
    <row r="122" spans="1:7" ht="15.75" thickBot="1" x14ac:dyDescent="0.3">
      <c r="A122" s="163"/>
      <c r="B122" s="39" t="s">
        <v>80</v>
      </c>
      <c r="C122">
        <f>C44/C110</f>
        <v>345.15182250592818</v>
      </c>
      <c r="D122">
        <f>D44/D110</f>
        <v>355.9851947055991</v>
      </c>
      <c r="E122">
        <f>E44/E110</f>
        <v>348.22014727675207</v>
      </c>
      <c r="F122" s="1">
        <f t="shared" si="2"/>
        <v>349.78572149609317</v>
      </c>
      <c r="G122" s="2">
        <f t="shared" si="3"/>
        <v>4.5591486984121401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460.37291133693265</v>
      </c>
      <c r="D123">
        <f>D45/D110</f>
        <v>472.17553785620993</v>
      </c>
      <c r="E123">
        <f>E45/E110</f>
        <v>455.14087174982382</v>
      </c>
      <c r="F123" s="1">
        <f t="shared" si="2"/>
        <v>462.56310698098878</v>
      </c>
      <c r="G123" s="2">
        <f t="shared" si="3"/>
        <v>7.1247306409176785</v>
      </c>
    </row>
    <row r="124" spans="1:7" x14ac:dyDescent="0.25">
      <c r="A124" s="162"/>
      <c r="B124" s="38" t="s">
        <v>74</v>
      </c>
      <c r="C124">
        <f>C46/C110</f>
        <v>440.29808264723908</v>
      </c>
      <c r="D124">
        <f>D46/D110</f>
        <v>453.49971085714407</v>
      </c>
      <c r="E124">
        <f>E46/E110</f>
        <v>446.22895529667608</v>
      </c>
      <c r="F124" s="1">
        <f t="shared" si="2"/>
        <v>446.67558293368643</v>
      </c>
      <c r="G124" s="2">
        <f t="shared" si="3"/>
        <v>5.3987871497677347</v>
      </c>
    </row>
    <row r="125" spans="1:7" x14ac:dyDescent="0.25">
      <c r="A125" s="162"/>
      <c r="B125" s="38" t="s">
        <v>75</v>
      </c>
      <c r="C125">
        <f>C47/C110</f>
        <v>442.18175796975936</v>
      </c>
      <c r="D125">
        <f>D47/D110</f>
        <v>454.06837360434383</v>
      </c>
      <c r="E125">
        <f>E47/E110</f>
        <v>448.52692466954818</v>
      </c>
      <c r="F125" s="1">
        <f t="shared" si="2"/>
        <v>448.25901874788377</v>
      </c>
      <c r="G125" s="2">
        <f t="shared" si="3"/>
        <v>4.856386722535877</v>
      </c>
    </row>
    <row r="126" spans="1:7" x14ac:dyDescent="0.25">
      <c r="A126" s="162"/>
      <c r="B126" s="38" t="s">
        <v>76</v>
      </c>
      <c r="C126">
        <f>C48/C110</f>
        <v>443.60183505690475</v>
      </c>
      <c r="D126">
        <f>D48/D110</f>
        <v>454.24085787142059</v>
      </c>
      <c r="E126">
        <f>E48/E110</f>
        <v>450.31897489779288</v>
      </c>
      <c r="F126" s="1">
        <f t="shared" si="2"/>
        <v>449.38722260870605</v>
      </c>
      <c r="G126" s="2">
        <f t="shared" si="3"/>
        <v>4.3930493098462575</v>
      </c>
    </row>
    <row r="127" spans="1:7" x14ac:dyDescent="0.25">
      <c r="A127" s="162"/>
      <c r="B127" s="38" t="s">
        <v>77</v>
      </c>
      <c r="C127">
        <f>C49/C110</f>
        <v>444.92096706548415</v>
      </c>
      <c r="D127">
        <f>D49/D110</f>
        <v>454.42400768566222</v>
      </c>
      <c r="E127">
        <f>E49/E110</f>
        <v>449.76010391440195</v>
      </c>
      <c r="F127" s="1">
        <f t="shared" si="2"/>
        <v>449.70169288851611</v>
      </c>
      <c r="G127" s="2">
        <f t="shared" si="3"/>
        <v>3.8798199393912922</v>
      </c>
    </row>
    <row r="128" spans="1:7" x14ac:dyDescent="0.25">
      <c r="A128" s="162"/>
      <c r="B128" s="38" t="s">
        <v>78</v>
      </c>
      <c r="C128">
        <f>C50/C110</f>
        <v>446.05149378776508</v>
      </c>
      <c r="D128">
        <f>D50/D110</f>
        <v>454.39759417937728</v>
      </c>
      <c r="E128">
        <f>E50/E110</f>
        <v>452.86526754281795</v>
      </c>
      <c r="F128" s="1">
        <f t="shared" si="2"/>
        <v>451.10478516998677</v>
      </c>
      <c r="G128" s="2">
        <f t="shared" si="3"/>
        <v>3.6275631467514833</v>
      </c>
    </row>
    <row r="129" spans="1:7" x14ac:dyDescent="0.25">
      <c r="A129" s="162"/>
      <c r="B129" s="38" t="s">
        <v>79</v>
      </c>
      <c r="C129">
        <f>C51/C110</f>
        <v>448.75146308052143</v>
      </c>
      <c r="D129">
        <f>D51/D110</f>
        <v>456.43968120297956</v>
      </c>
      <c r="E129">
        <f>E51/E110</f>
        <v>455.87327100118438</v>
      </c>
      <c r="F129" s="1">
        <f t="shared" si="2"/>
        <v>453.68813842822846</v>
      </c>
      <c r="G129" s="2">
        <f t="shared" si="3"/>
        <v>3.4984070418471043</v>
      </c>
    </row>
    <row r="130" spans="1:7" x14ac:dyDescent="0.25">
      <c r="A130" s="162"/>
      <c r="B130" s="38" t="s">
        <v>82</v>
      </c>
      <c r="C130">
        <f>C52/C110</f>
        <v>428.01190204788065</v>
      </c>
      <c r="D130">
        <f>D52/D110</f>
        <v>435.62367648772681</v>
      </c>
      <c r="E130">
        <f>E52/E110</f>
        <v>435.67801843637488</v>
      </c>
      <c r="F130" s="1">
        <f t="shared" si="2"/>
        <v>433.10453232399414</v>
      </c>
      <c r="G130" s="2">
        <f t="shared" si="3"/>
        <v>3.6011017396287981</v>
      </c>
    </row>
    <row r="131" spans="1:7" x14ac:dyDescent="0.25">
      <c r="A131" s="162"/>
      <c r="B131" s="38" t="s">
        <v>83</v>
      </c>
      <c r="C131">
        <f>C53/C110</f>
        <v>412.09149645304745</v>
      </c>
      <c r="D131">
        <f>D53/D110</f>
        <v>420.18676722059615</v>
      </c>
      <c r="E131">
        <f>E53/E110</f>
        <v>420.45752800106851</v>
      </c>
      <c r="F131" s="1">
        <f t="shared" si="2"/>
        <v>417.57859722490406</v>
      </c>
      <c r="G131" s="2">
        <f t="shared" si="3"/>
        <v>3.8815404167625975</v>
      </c>
    </row>
    <row r="132" spans="1:7" x14ac:dyDescent="0.25">
      <c r="A132" s="162"/>
      <c r="B132" s="38" t="s">
        <v>84</v>
      </c>
      <c r="C132">
        <f>C54/C110</f>
        <v>391.91562298594488</v>
      </c>
      <c r="D132">
        <f>D54/D110</f>
        <v>401.07402442939394</v>
      </c>
      <c r="E132">
        <f>E54/E110</f>
        <v>398.57175571332323</v>
      </c>
      <c r="F132" s="1">
        <f t="shared" si="2"/>
        <v>397.18713437622068</v>
      </c>
      <c r="G132" s="2">
        <f t="shared" si="3"/>
        <v>3.8649675665057623</v>
      </c>
    </row>
    <row r="133" spans="1:7" x14ac:dyDescent="0.25">
      <c r="A133" s="162"/>
      <c r="B133" s="38" t="s">
        <v>85</v>
      </c>
      <c r="C133">
        <f>C55/C110</f>
        <v>343.53299577520613</v>
      </c>
      <c r="D133">
        <f>D55/D110</f>
        <v>354.48541366209071</v>
      </c>
      <c r="E133">
        <f>E55/E110</f>
        <v>346.90833320377885</v>
      </c>
      <c r="F133" s="1">
        <f t="shared" si="2"/>
        <v>348.30891421369188</v>
      </c>
      <c r="G133" s="2">
        <f t="shared" si="3"/>
        <v>4.5796713685761397</v>
      </c>
    </row>
    <row r="134" spans="1:7" ht="15.75" thickBot="1" x14ac:dyDescent="0.3">
      <c r="A134" s="163"/>
      <c r="B134" s="39" t="s">
        <v>86</v>
      </c>
      <c r="C134">
        <f>C56/C110</f>
        <v>218.8522522411746</v>
      </c>
      <c r="D134">
        <f>D56/D110</f>
        <v>229.86308949595525</v>
      </c>
      <c r="E134">
        <f>E56/E110</f>
        <v>233.58919393258455</v>
      </c>
      <c r="F134" s="1">
        <f t="shared" si="2"/>
        <v>227.43484522323811</v>
      </c>
      <c r="G134" s="2">
        <f t="shared" si="3"/>
        <v>6.256550715849313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DD035</v>
      </c>
      <c r="D137" s="68" t="str">
        <f>D1</f>
        <v>DD036</v>
      </c>
      <c r="E137" s="68" t="str">
        <f>E1</f>
        <v>DD037</v>
      </c>
    </row>
    <row r="138" spans="1:7" ht="14.45" customHeight="1" x14ac:dyDescent="0.25">
      <c r="A138" s="172"/>
      <c r="B138" s="69" t="s">
        <v>100</v>
      </c>
      <c r="C138" s="68">
        <f>C25</f>
        <v>1.9968768000000001E-2</v>
      </c>
      <c r="D138" s="68">
        <f>D25</f>
        <v>1.9657248000000002E-2</v>
      </c>
      <c r="E138" s="68">
        <f>E25</f>
        <v>1.9665984000000001E-2</v>
      </c>
      <c r="F138" s="1">
        <f t="shared" si="2"/>
        <v>1.9764E-2</v>
      </c>
      <c r="G138" s="2">
        <f t="shared" si="3"/>
        <v>1.4483675820730027E-4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42</v>
      </c>
      <c r="D142" s="68">
        <f>D21</f>
        <v>41</v>
      </c>
      <c r="E142" s="68">
        <f>E21</f>
        <v>41</v>
      </c>
      <c r="F142" s="1">
        <f t="shared" ref="F142:F151" si="4">AVERAGE(C142:E142)</f>
        <v>41.333333333333336</v>
      </c>
      <c r="G142" s="2">
        <f t="shared" ref="G142:G151" si="5">_xlfn.STDEV.P(C142:E142)</f>
        <v>0.47140452079103168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>D16</f>
        <v>1.7194640000000001</v>
      </c>
      <c r="E143" s="68">
        <f>E16</f>
        <v>1.7194640000000001</v>
      </c>
      <c r="F143" s="1">
        <f t="shared" si="4"/>
        <v>1.7194640000000001</v>
      </c>
      <c r="G143" s="2">
        <f t="shared" si="5"/>
        <v>0</v>
      </c>
    </row>
    <row r="144" spans="1:7" ht="14.45" customHeight="1" x14ac:dyDescent="0.25">
      <c r="A144" s="172"/>
      <c r="B144" s="69" t="s">
        <v>106</v>
      </c>
      <c r="C144" s="68">
        <f>C22</f>
        <v>120.97258215350831</v>
      </c>
      <c r="D144" s="68">
        <f>D22</f>
        <v>119.08536613735446</v>
      </c>
      <c r="E144" s="68">
        <f>E22</f>
        <v>119.13828960652856</v>
      </c>
      <c r="F144" s="1">
        <f t="shared" si="4"/>
        <v>119.73207929913046</v>
      </c>
      <c r="G144" s="2">
        <f t="shared" si="5"/>
        <v>0.87743403253923247</v>
      </c>
    </row>
    <row r="145" spans="1:7" ht="14.45" customHeight="1" x14ac:dyDescent="0.25">
      <c r="A145" s="172"/>
      <c r="B145" s="69" t="s">
        <v>107</v>
      </c>
      <c r="C145" s="68">
        <f>C24</f>
        <v>35.390319087403967</v>
      </c>
      <c r="D145" s="68">
        <f>D24</f>
        <v>34.846991357081038</v>
      </c>
      <c r="E145" s="68">
        <f>E24</f>
        <v>34.818036302767005</v>
      </c>
      <c r="F145" s="1">
        <f t="shared" si="4"/>
        <v>35.018448915750668</v>
      </c>
      <c r="G145" s="2">
        <f t="shared" si="5"/>
        <v>0.26321748576246651</v>
      </c>
    </row>
    <row r="146" spans="1:7" ht="14.45" customHeight="1" thickBot="1" x14ac:dyDescent="0.3">
      <c r="A146" s="173"/>
      <c r="B146" s="70" t="s">
        <v>108</v>
      </c>
      <c r="C146" s="68">
        <v>120</v>
      </c>
      <c r="D146">
        <v>120</v>
      </c>
      <c r="E146" s="68">
        <v>120</v>
      </c>
      <c r="F146" s="1">
        <f t="shared" si="4"/>
        <v>120</v>
      </c>
      <c r="G146" s="2">
        <f t="shared" si="5"/>
        <v>0</v>
      </c>
    </row>
    <row r="148" spans="1:7" x14ac:dyDescent="0.25">
      <c r="A148" s="168" t="s">
        <v>109</v>
      </c>
      <c r="B148" s="94" t="s">
        <v>110</v>
      </c>
      <c r="C148" s="97">
        <v>3.35</v>
      </c>
      <c r="D148" s="97">
        <v>3.29</v>
      </c>
      <c r="E148" s="97">
        <v>3.32</v>
      </c>
      <c r="F148" s="1">
        <f t="shared" si="4"/>
        <v>3.3200000000000003</v>
      </c>
      <c r="G148" s="2">
        <f t="shared" si="5"/>
        <v>2.4494897427831803E-2</v>
      </c>
    </row>
    <row r="149" spans="1:7" x14ac:dyDescent="0.25">
      <c r="A149" s="169"/>
      <c r="B149" s="95" t="s">
        <v>111</v>
      </c>
      <c r="C149" s="97">
        <v>3.12</v>
      </c>
      <c r="D149" s="97">
        <v>3.07</v>
      </c>
      <c r="E149" s="97">
        <v>3.09</v>
      </c>
      <c r="F149" s="1">
        <f t="shared" si="4"/>
        <v>3.0933333333333333</v>
      </c>
      <c r="G149" s="2">
        <f t="shared" si="5"/>
        <v>2.0548046676563372E-2</v>
      </c>
    </row>
    <row r="150" spans="1:7" x14ac:dyDescent="0.25">
      <c r="A150" s="169"/>
      <c r="B150" s="95" t="s">
        <v>112</v>
      </c>
      <c r="C150" s="97">
        <v>3.07</v>
      </c>
      <c r="D150" s="97">
        <v>2.96</v>
      </c>
      <c r="E150" s="97">
        <v>3.03</v>
      </c>
      <c r="F150" s="1">
        <f t="shared" si="4"/>
        <v>3.0199999999999996</v>
      </c>
      <c r="G150" s="2">
        <f t="shared" si="5"/>
        <v>4.5460605656619461E-2</v>
      </c>
    </row>
    <row r="151" spans="1:7" ht="15.75" thickBot="1" x14ac:dyDescent="0.3">
      <c r="A151" s="170"/>
      <c r="B151" s="96" t="s">
        <v>113</v>
      </c>
      <c r="C151" s="97">
        <v>3.3</v>
      </c>
      <c r="D151" s="97">
        <v>3.19</v>
      </c>
      <c r="E151" s="97">
        <v>3.26</v>
      </c>
      <c r="F151" s="1">
        <f t="shared" si="4"/>
        <v>3.25</v>
      </c>
      <c r="G151" s="2">
        <f t="shared" si="5"/>
        <v>4.5460605656619461E-2</v>
      </c>
    </row>
  </sheetData>
  <sortState xmlns:xlrd2="http://schemas.microsoft.com/office/spreadsheetml/2017/richdata2" columnSort="1" ref="C1:G148">
    <sortCondition descending="1" ref="C24:G24"/>
  </sortState>
  <mergeCells count="11">
    <mergeCell ref="A81:A92"/>
    <mergeCell ref="A1:A30"/>
    <mergeCell ref="A33:A44"/>
    <mergeCell ref="A45:A56"/>
    <mergeCell ref="A57:A67"/>
    <mergeCell ref="A68:A78"/>
    <mergeCell ref="A148:A151"/>
    <mergeCell ref="A93:A104"/>
    <mergeCell ref="A111:A122"/>
    <mergeCell ref="A123:A134"/>
    <mergeCell ref="A137:A146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1"/>
  <sheetViews>
    <sheetView zoomScale="90" zoomScaleNormal="90" workbookViewId="0">
      <pane ySplit="1" topLeftCell="A148" activePane="bottomLeft" state="frozen"/>
      <selection pane="bottomLeft" activeCell="B168" sqref="B168"/>
    </sheetView>
  </sheetViews>
  <sheetFormatPr defaultRowHeight="15" x14ac:dyDescent="0.25"/>
  <cols>
    <col min="1" max="1" width="14.28515625" customWidth="1"/>
    <col min="2" max="2" width="43.140625" style="27" customWidth="1"/>
    <col min="3" max="3" width="15.140625" customWidth="1"/>
    <col min="4" max="5" width="13.28515625" customWidth="1"/>
    <col min="6" max="6" width="13.28515625" style="1" bestFit="1" customWidth="1"/>
    <col min="7" max="7" width="17.5703125" style="2" bestFit="1" customWidth="1"/>
  </cols>
  <sheetData>
    <row r="1" spans="1:7" x14ac:dyDescent="0.25">
      <c r="A1" s="164" t="s">
        <v>24</v>
      </c>
      <c r="B1" s="16" t="s">
        <v>25</v>
      </c>
      <c r="C1" t="s">
        <v>155</v>
      </c>
      <c r="D1" t="s">
        <v>156</v>
      </c>
      <c r="E1" t="s">
        <v>157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</v>
      </c>
      <c r="D5" s="8">
        <v>0.9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s="8" t="s">
        <v>158</v>
      </c>
      <c r="D8" s="8" t="s">
        <v>159</v>
      </c>
      <c r="E8" s="8" t="s">
        <v>160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2.62971E-2</v>
      </c>
      <c r="D12" s="74">
        <v>2.5744699999999999E-2</v>
      </c>
      <c r="E12" s="8">
        <v>2.59139E-2</v>
      </c>
      <c r="F12" s="1">
        <f>AVERAGE(C12:E12)</f>
        <v>2.5985233333333333E-2</v>
      </c>
      <c r="G12" s="2">
        <f>_xlfn.STDEV.P(C12:E12)</f>
        <v>2.3108840059355885E-4</v>
      </c>
    </row>
    <row r="13" spans="1:7" x14ac:dyDescent="0.25">
      <c r="A13" s="164"/>
      <c r="B13" s="21" t="s">
        <v>49</v>
      </c>
      <c r="C13" s="8">
        <v>52</v>
      </c>
      <c r="D13" s="73">
        <v>50</v>
      </c>
      <c r="E13" s="8">
        <v>50</v>
      </c>
      <c r="F13" s="1">
        <f t="shared" ref="F13:F76" si="0">AVERAGE(C13:E13)</f>
        <v>50.666666666666664</v>
      </c>
      <c r="G13" s="2">
        <f t="shared" ref="G13:G76" si="1">_xlfn.STDEV.P(C13:E13)</f>
        <v>0.94280904158206336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2.0727099999999998E-2</v>
      </c>
      <c r="D18" s="11">
        <f>D12-D14</f>
        <v>2.0174699999999997E-2</v>
      </c>
      <c r="E18" s="11">
        <f>E12-E14</f>
        <v>2.0343899999999998E-2</v>
      </c>
      <c r="F18" s="1">
        <f t="shared" si="0"/>
        <v>2.0415233333333331E-2</v>
      </c>
      <c r="G18" s="2">
        <f t="shared" si="1"/>
        <v>2.3108840059355885E-4</v>
      </c>
    </row>
    <row r="19" spans="1:7" x14ac:dyDescent="0.25">
      <c r="A19" s="164"/>
      <c r="B19" s="23" t="s">
        <v>55</v>
      </c>
      <c r="C19" s="12">
        <f>C18*C10/100*C11</f>
        <v>3.2831726399999996</v>
      </c>
      <c r="D19" s="12">
        <f>D18*D10/100*D11</f>
        <v>3.1956724799999994</v>
      </c>
      <c r="E19" s="12">
        <f>E18*E10/100*E11</f>
        <v>3.2224737599999997</v>
      </c>
      <c r="F19" s="1">
        <f t="shared" si="0"/>
        <v>3.2337729599999996</v>
      </c>
      <c r="G19" s="2">
        <f t="shared" si="1"/>
        <v>3.6604402654019721E-2</v>
      </c>
    </row>
    <row r="20" spans="1:7" x14ac:dyDescent="0.25">
      <c r="A20" s="164"/>
      <c r="B20" s="23" t="s">
        <v>56</v>
      </c>
      <c r="C20" s="12">
        <f>C19/C16</f>
        <v>1.9094163297399651</v>
      </c>
      <c r="D20" s="12">
        <f>D19/D16</f>
        <v>1.858528285558755</v>
      </c>
      <c r="E20" s="12">
        <f>E19/E16</f>
        <v>1.8741152824368521</v>
      </c>
      <c r="F20" s="1">
        <f t="shared" si="0"/>
        <v>1.8806866325785243</v>
      </c>
      <c r="G20" s="2">
        <f t="shared" si="1"/>
        <v>2.1288263466998841E-2</v>
      </c>
    </row>
    <row r="21" spans="1:7" x14ac:dyDescent="0.25">
      <c r="A21" s="164"/>
      <c r="B21" s="22" t="s">
        <v>57</v>
      </c>
      <c r="C21" s="13">
        <f>C13-C15</f>
        <v>39</v>
      </c>
      <c r="D21" s="13">
        <f>D13-D15</f>
        <v>37</v>
      </c>
      <c r="E21" s="13">
        <f>E13-E15</f>
        <v>37</v>
      </c>
      <c r="F21" s="1">
        <f t="shared" si="0"/>
        <v>37.666666666666664</v>
      </c>
      <c r="G21" s="2">
        <f t="shared" si="1"/>
        <v>0.94280904158206336</v>
      </c>
    </row>
    <row r="22" spans="1:7" x14ac:dyDescent="0.25">
      <c r="A22" s="164"/>
      <c r="B22" s="22" t="s">
        <v>58</v>
      </c>
      <c r="C22" s="13">
        <f>C18/(C16/10^4)</f>
        <v>120.5439602108564</v>
      </c>
      <c r="D22" s="13">
        <f>D18/(D16/10^4)</f>
        <v>117.33133115901232</v>
      </c>
      <c r="E22" s="13">
        <f>E18/(E16/10^4)</f>
        <v>118.31535873970027</v>
      </c>
      <c r="F22" s="1">
        <f t="shared" si="0"/>
        <v>118.73021670318967</v>
      </c>
      <c r="G22" s="2">
        <f t="shared" si="1"/>
        <v>1.3439560269569994</v>
      </c>
    </row>
    <row r="23" spans="1:7" x14ac:dyDescent="0.25">
      <c r="A23" s="164"/>
      <c r="B23" s="22" t="s">
        <v>59</v>
      </c>
      <c r="C23" s="13">
        <f>C18/C16/(C21/10^4)</f>
        <v>3.0908707746373434</v>
      </c>
      <c r="D23" s="13">
        <f>D18/D16/(D21/10^4)</f>
        <v>3.1711170583516841</v>
      </c>
      <c r="E23" s="13">
        <f>E18/E16/(E21/10^4)</f>
        <v>3.1977123983702769</v>
      </c>
      <c r="F23" s="1">
        <f t="shared" si="0"/>
        <v>3.1532334104531015</v>
      </c>
      <c r="G23" s="2">
        <f t="shared" si="1"/>
        <v>4.5414034446727251E-2</v>
      </c>
    </row>
    <row r="24" spans="1:7" x14ac:dyDescent="0.25">
      <c r="A24" s="164"/>
      <c r="B24" s="22" t="s">
        <v>60</v>
      </c>
      <c r="C24" s="13">
        <f>(1-C23/C17)*100</f>
        <v>30.666873606160983</v>
      </c>
      <c r="D24" s="13">
        <f>(1-D23/D17)*100</f>
        <v>28.866822378831671</v>
      </c>
      <c r="E24" s="13">
        <f>(1-E23/E17)*100</f>
        <v>28.270246783977637</v>
      </c>
      <c r="F24" s="1">
        <f t="shared" si="0"/>
        <v>29.267980922990095</v>
      </c>
      <c r="G24" s="2">
        <f t="shared" si="1"/>
        <v>1.0187087134752644</v>
      </c>
    </row>
    <row r="25" spans="1:7" x14ac:dyDescent="0.25">
      <c r="A25" s="164"/>
      <c r="B25" s="24" t="s">
        <v>61</v>
      </c>
      <c r="C25" s="14">
        <f>(C18*C10)/100</f>
        <v>1.9898015999999998E-2</v>
      </c>
      <c r="D25" s="14">
        <f>(D18*D10)/100</f>
        <v>1.9367711999999995E-2</v>
      </c>
      <c r="E25" s="14">
        <f>(E18*E10)/100</f>
        <v>1.9530143999999999E-2</v>
      </c>
      <c r="F25" s="1">
        <f t="shared" si="0"/>
        <v>1.9598623999999999E-2</v>
      </c>
      <c r="G25" s="2">
        <f t="shared" si="1"/>
        <v>2.218448645698166E-4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121</v>
      </c>
      <c r="D28" t="s">
        <v>121</v>
      </c>
      <c r="E28" t="s">
        <v>121</v>
      </c>
    </row>
    <row r="29" spans="1:7" x14ac:dyDescent="0.25">
      <c r="A29" s="164"/>
      <c r="B29" s="18" t="s">
        <v>67</v>
      </c>
      <c r="C29" t="s">
        <v>161</v>
      </c>
      <c r="D29" t="s">
        <v>162</v>
      </c>
      <c r="E29" t="s">
        <v>163</v>
      </c>
    </row>
    <row r="30" spans="1:7" x14ac:dyDescent="0.25">
      <c r="A30" s="164"/>
      <c r="B30" s="25" t="s">
        <v>71</v>
      </c>
      <c r="C30">
        <v>5.0970000000000004</v>
      </c>
      <c r="D30">
        <v>6.77</v>
      </c>
      <c r="E30">
        <v>3.3210000000000002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3.4739572000000001</v>
      </c>
      <c r="D33" s="76">
        <v>4.4181973299999999</v>
      </c>
      <c r="E33" s="118">
        <v>3.5506873900000002</v>
      </c>
      <c r="F33" s="1">
        <f t="shared" si="0"/>
        <v>3.8142806399999998</v>
      </c>
      <c r="G33" s="2">
        <f t="shared" si="1"/>
        <v>0.42818096397028066</v>
      </c>
    </row>
    <row r="34" spans="1:7" x14ac:dyDescent="0.25">
      <c r="A34" s="166"/>
      <c r="B34" s="29" t="s">
        <v>74</v>
      </c>
      <c r="C34" s="78">
        <v>3.28194718</v>
      </c>
      <c r="D34" s="79">
        <v>3.29676334</v>
      </c>
      <c r="E34" s="114">
        <v>3.2831416299999998</v>
      </c>
      <c r="F34" s="1">
        <f t="shared" si="0"/>
        <v>3.2872840499999998</v>
      </c>
      <c r="G34" s="2">
        <f t="shared" si="1"/>
        <v>6.7205843931760073E-3</v>
      </c>
    </row>
    <row r="35" spans="1:7" x14ac:dyDescent="0.25">
      <c r="A35" s="166"/>
      <c r="B35" s="29" t="s">
        <v>75</v>
      </c>
      <c r="C35" s="78">
        <v>3.1611978199999999</v>
      </c>
      <c r="D35" s="79">
        <v>3.15171767</v>
      </c>
      <c r="E35" s="114">
        <v>3.1287191999999999</v>
      </c>
      <c r="F35" s="1">
        <f t="shared" si="0"/>
        <v>3.1472115633333337</v>
      </c>
      <c r="G35" s="2">
        <f t="shared" si="1"/>
        <v>1.3636811387921884E-2</v>
      </c>
    </row>
    <row r="36" spans="1:7" x14ac:dyDescent="0.25">
      <c r="A36" s="166"/>
      <c r="B36" s="29" t="s">
        <v>76</v>
      </c>
      <c r="C36" s="78">
        <v>3.1885148399999999</v>
      </c>
      <c r="D36" s="79">
        <v>3.15348768</v>
      </c>
      <c r="E36" s="114">
        <v>3.14150609</v>
      </c>
      <c r="F36" s="1">
        <f t="shared" si="0"/>
        <v>3.1611695366666663</v>
      </c>
      <c r="G36" s="2">
        <f t="shared" si="1"/>
        <v>1.9945155393829829E-2</v>
      </c>
    </row>
    <row r="37" spans="1:7" x14ac:dyDescent="0.25">
      <c r="A37" s="166"/>
      <c r="B37" s="29" t="s">
        <v>77</v>
      </c>
      <c r="C37" s="78">
        <v>3.2034145999999999</v>
      </c>
      <c r="D37" s="79">
        <v>3.1475468000000002</v>
      </c>
      <c r="E37" s="114">
        <v>3.1497921400000002</v>
      </c>
      <c r="F37" s="1">
        <f t="shared" si="0"/>
        <v>3.1669178466666668</v>
      </c>
      <c r="G37" s="2">
        <f t="shared" si="1"/>
        <v>2.5823376242396116E-2</v>
      </c>
    </row>
    <row r="38" spans="1:7" x14ac:dyDescent="0.25">
      <c r="A38" s="166"/>
      <c r="B38" s="29" t="s">
        <v>78</v>
      </c>
      <c r="C38" s="78">
        <v>3.2129898200000002</v>
      </c>
      <c r="D38" s="79">
        <v>3.15451462</v>
      </c>
      <c r="E38" s="114">
        <v>3.1529947800000002</v>
      </c>
      <c r="F38" s="1">
        <f t="shared" si="0"/>
        <v>3.1734997400000005</v>
      </c>
      <c r="G38" s="2">
        <f t="shared" si="1"/>
        <v>2.7930596033874194E-2</v>
      </c>
    </row>
    <row r="39" spans="1:7" x14ac:dyDescent="0.25">
      <c r="A39" s="166"/>
      <c r="B39" s="29" t="s">
        <v>79</v>
      </c>
      <c r="C39" s="78">
        <v>3.2355351300000001</v>
      </c>
      <c r="D39" s="79">
        <v>3.1732288199999998</v>
      </c>
      <c r="E39" s="114">
        <v>3.1787217000000001</v>
      </c>
      <c r="F39" s="1">
        <f t="shared" si="0"/>
        <v>3.1958285499999999</v>
      </c>
      <c r="G39" s="2">
        <f t="shared" si="1"/>
        <v>2.8166200834166565E-2</v>
      </c>
    </row>
    <row r="40" spans="1:7" x14ac:dyDescent="0.25">
      <c r="A40" s="166"/>
      <c r="B40" s="29" t="s">
        <v>80</v>
      </c>
      <c r="C40" s="78">
        <v>3.2266959000000002</v>
      </c>
      <c r="D40" s="79">
        <v>3.1533413000000001</v>
      </c>
      <c r="E40" s="114">
        <v>3.1714473600000002</v>
      </c>
      <c r="F40" s="1">
        <f t="shared" si="0"/>
        <v>3.1838281866666667</v>
      </c>
      <c r="G40" s="2">
        <f t="shared" si="1"/>
        <v>3.1200299005004581E-2</v>
      </c>
    </row>
    <row r="41" spans="1:7" x14ac:dyDescent="0.25">
      <c r="A41" s="166"/>
      <c r="B41" s="29" t="s">
        <v>80</v>
      </c>
      <c r="C41" s="78">
        <v>3.0951716899999999</v>
      </c>
      <c r="D41" s="79">
        <v>3.0274859599999999</v>
      </c>
      <c r="E41" s="114">
        <v>3.0435497300000001</v>
      </c>
      <c r="F41" s="1">
        <f t="shared" si="0"/>
        <v>3.0554024599999998</v>
      </c>
      <c r="G41" s="2">
        <f t="shared" si="1"/>
        <v>2.8875652001272609E-2</v>
      </c>
    </row>
    <row r="42" spans="1:7" x14ac:dyDescent="0.25">
      <c r="A42" s="166"/>
      <c r="B42" s="29" t="s">
        <v>80</v>
      </c>
      <c r="C42" s="78">
        <v>2.9776957099999999</v>
      </c>
      <c r="D42" s="79">
        <v>2.91703438</v>
      </c>
      <c r="E42" s="114">
        <v>2.9289730199999999</v>
      </c>
      <c r="F42" s="1">
        <f t="shared" si="0"/>
        <v>2.9412343700000001</v>
      </c>
      <c r="G42" s="2">
        <f t="shared" si="1"/>
        <v>2.6238708901279113E-2</v>
      </c>
    </row>
    <row r="43" spans="1:7" x14ac:dyDescent="0.25">
      <c r="A43" s="166"/>
      <c r="B43" s="29" t="s">
        <v>80</v>
      </c>
      <c r="C43" s="78">
        <v>2.6387690099999999</v>
      </c>
      <c r="D43" s="79">
        <v>2.5795023399999999</v>
      </c>
      <c r="E43" s="114">
        <v>2.5935739600000001</v>
      </c>
      <c r="F43" s="1">
        <f t="shared" si="0"/>
        <v>2.6039484366666668</v>
      </c>
      <c r="G43" s="2">
        <f t="shared" si="1"/>
        <v>2.5283154705622087E-2</v>
      </c>
    </row>
    <row r="44" spans="1:7" ht="15.75" thickBot="1" x14ac:dyDescent="0.3">
      <c r="A44" s="167"/>
      <c r="B44" s="30" t="s">
        <v>80</v>
      </c>
      <c r="C44" s="81">
        <v>2.54801856</v>
      </c>
      <c r="D44" s="82">
        <v>2.5177189100000001</v>
      </c>
      <c r="E44" s="115">
        <v>2.4996275799999998</v>
      </c>
      <c r="F44" s="1">
        <f t="shared" si="0"/>
        <v>2.52178835</v>
      </c>
      <c r="G44" s="2">
        <f t="shared" si="1"/>
        <v>1.9964000814387612E-2</v>
      </c>
    </row>
    <row r="45" spans="1:7" ht="15.75" thickTop="1" x14ac:dyDescent="0.25">
      <c r="A45" s="165" t="s">
        <v>81</v>
      </c>
      <c r="B45" s="28" t="s">
        <v>73</v>
      </c>
      <c r="C45" s="78">
        <v>3.1715671799999998</v>
      </c>
      <c r="D45" s="79">
        <v>3.2677370099999998</v>
      </c>
      <c r="E45" s="114">
        <v>3.2602764799999999</v>
      </c>
      <c r="F45" s="1">
        <f t="shared" si="0"/>
        <v>3.2331935566666665</v>
      </c>
      <c r="G45" s="2">
        <f t="shared" si="1"/>
        <v>4.3682739556691698E-2</v>
      </c>
    </row>
    <row r="46" spans="1:7" x14ac:dyDescent="0.25">
      <c r="A46" s="166"/>
      <c r="B46" s="29" t="s">
        <v>74</v>
      </c>
      <c r="C46" s="78">
        <v>3.10999823</v>
      </c>
      <c r="D46" s="79">
        <v>3.1362050899999998</v>
      </c>
      <c r="E46" s="114">
        <v>3.1200917100000001</v>
      </c>
      <c r="F46" s="1">
        <f t="shared" si="0"/>
        <v>3.1220983433333331</v>
      </c>
      <c r="G46" s="2">
        <f t="shared" si="1"/>
        <v>1.0792584206010186E-2</v>
      </c>
    </row>
    <row r="47" spans="1:7" x14ac:dyDescent="0.25">
      <c r="A47" s="166"/>
      <c r="B47" s="29" t="s">
        <v>75</v>
      </c>
      <c r="C47" s="78">
        <v>3.1589348199999998</v>
      </c>
      <c r="D47" s="79">
        <v>3.1401780499999998</v>
      </c>
      <c r="E47" s="114">
        <v>3.1328009699999999</v>
      </c>
      <c r="F47" s="1">
        <f t="shared" si="0"/>
        <v>3.1439712800000001</v>
      </c>
      <c r="G47" s="2">
        <f t="shared" si="1"/>
        <v>1.100109007720898E-2</v>
      </c>
    </row>
    <row r="48" spans="1:7" x14ac:dyDescent="0.25">
      <c r="A48" s="166"/>
      <c r="B48" s="29" t="s">
        <v>76</v>
      </c>
      <c r="C48" s="78">
        <v>3.1855108699999999</v>
      </c>
      <c r="D48" s="79">
        <v>3.1344450699999999</v>
      </c>
      <c r="E48" s="114">
        <v>3.14227086</v>
      </c>
      <c r="F48" s="1">
        <f t="shared" si="0"/>
        <v>3.1540756000000001</v>
      </c>
      <c r="G48" s="2">
        <f t="shared" si="1"/>
        <v>2.2456519428452507E-2</v>
      </c>
    </row>
    <row r="49" spans="1:7" x14ac:dyDescent="0.25">
      <c r="A49" s="166"/>
      <c r="B49" s="29" t="s">
        <v>77</v>
      </c>
      <c r="C49" s="78">
        <v>3.1993428000000002</v>
      </c>
      <c r="D49" s="79">
        <v>3.14241233</v>
      </c>
      <c r="E49" s="114">
        <v>3.14499095</v>
      </c>
      <c r="F49" s="1">
        <f t="shared" si="0"/>
        <v>3.1622486933333334</v>
      </c>
      <c r="G49" s="2">
        <f t="shared" si="1"/>
        <v>2.6250611197006956E-2</v>
      </c>
    </row>
    <row r="50" spans="1:7" x14ac:dyDescent="0.25">
      <c r="A50" s="166"/>
      <c r="B50" s="29" t="s">
        <v>78</v>
      </c>
      <c r="C50" s="78">
        <v>3.2078384299999998</v>
      </c>
      <c r="D50" s="79">
        <v>3.1423272600000001</v>
      </c>
      <c r="E50" s="114">
        <v>3.1573076100000002</v>
      </c>
      <c r="F50" s="1">
        <f t="shared" si="0"/>
        <v>3.1691577666666668</v>
      </c>
      <c r="G50" s="2">
        <f t="shared" si="1"/>
        <v>2.802674922831903E-2</v>
      </c>
    </row>
    <row r="51" spans="1:7" x14ac:dyDescent="0.25">
      <c r="A51" s="166"/>
      <c r="B51" s="29" t="s">
        <v>79</v>
      </c>
      <c r="C51" s="78">
        <v>3.2269803000000001</v>
      </c>
      <c r="D51" s="79">
        <v>3.1557132299999999</v>
      </c>
      <c r="E51" s="114">
        <v>3.1756975500000002</v>
      </c>
      <c r="F51" s="1">
        <f t="shared" si="0"/>
        <v>3.1861303599999999</v>
      </c>
      <c r="G51" s="2">
        <f t="shared" si="1"/>
        <v>3.0015345630397192E-2</v>
      </c>
    </row>
    <row r="52" spans="1:7" x14ac:dyDescent="0.25">
      <c r="A52" s="166"/>
      <c r="B52" s="29" t="s">
        <v>82</v>
      </c>
      <c r="C52" s="78">
        <v>3.0791107000000002</v>
      </c>
      <c r="D52" s="79">
        <v>3.01194395</v>
      </c>
      <c r="E52" s="114">
        <v>3.03593118</v>
      </c>
      <c r="F52" s="1">
        <f t="shared" si="0"/>
        <v>3.0423286100000002</v>
      </c>
      <c r="G52" s="2">
        <f t="shared" si="1"/>
        <v>2.7791346487042887E-2</v>
      </c>
    </row>
    <row r="53" spans="1:7" x14ac:dyDescent="0.25">
      <c r="A53" s="166"/>
      <c r="B53" s="29" t="s">
        <v>83</v>
      </c>
      <c r="C53" s="78">
        <v>2.9666257300000001</v>
      </c>
      <c r="D53" s="79">
        <v>2.9058633399999998</v>
      </c>
      <c r="E53" s="114">
        <v>2.9225213600000002</v>
      </c>
      <c r="F53" s="1">
        <f t="shared" si="0"/>
        <v>2.9316701433333336</v>
      </c>
      <c r="G53" s="2">
        <f t="shared" si="1"/>
        <v>2.5635810721049819E-2</v>
      </c>
    </row>
    <row r="54" spans="1:7" x14ac:dyDescent="0.25">
      <c r="A54" s="166"/>
      <c r="B54" s="29" t="s">
        <v>84</v>
      </c>
      <c r="C54" s="78">
        <v>2.8300055400000002</v>
      </c>
      <c r="D54" s="79">
        <v>2.7780871700000001</v>
      </c>
      <c r="E54" s="114">
        <v>2.7814388999999999</v>
      </c>
      <c r="F54" s="1">
        <f t="shared" si="0"/>
        <v>2.7965105366666667</v>
      </c>
      <c r="G54" s="2">
        <f t="shared" si="1"/>
        <v>2.3724037876146329E-2</v>
      </c>
    </row>
    <row r="55" spans="1:7" x14ac:dyDescent="0.25">
      <c r="A55" s="166"/>
      <c r="B55" s="29" t="s">
        <v>85</v>
      </c>
      <c r="C55" s="78">
        <v>2.53556005</v>
      </c>
      <c r="D55" s="79">
        <v>2.5055800800000001</v>
      </c>
      <c r="E55" s="114">
        <v>2.4944987300000001</v>
      </c>
      <c r="F55" s="1">
        <f t="shared" si="0"/>
        <v>2.5118796200000002</v>
      </c>
      <c r="G55" s="2">
        <f t="shared" si="1"/>
        <v>1.7344954178747901E-2</v>
      </c>
    </row>
    <row r="56" spans="1:7" ht="15.75" thickBot="1" x14ac:dyDescent="0.3">
      <c r="A56" s="167"/>
      <c r="B56" s="30" t="s">
        <v>86</v>
      </c>
      <c r="C56" s="81">
        <v>1.55398167</v>
      </c>
      <c r="D56" s="82">
        <v>1.77730089</v>
      </c>
      <c r="E56" s="115">
        <v>1.6598684699999999</v>
      </c>
      <c r="F56" s="1">
        <f t="shared" si="0"/>
        <v>1.6637170100000001</v>
      </c>
      <c r="G56" s="2">
        <f t="shared" si="1"/>
        <v>9.1210295290428706E-2</v>
      </c>
    </row>
    <row r="57" spans="1:7" ht="15.75" thickTop="1" x14ac:dyDescent="0.25">
      <c r="A57" s="165" t="s">
        <v>87</v>
      </c>
      <c r="B57" s="31">
        <v>0.9</v>
      </c>
      <c r="C57" s="84">
        <v>18.375388600000001</v>
      </c>
      <c r="D57" s="85">
        <v>23.8096347</v>
      </c>
      <c r="E57" s="112">
        <v>18.972643999999999</v>
      </c>
      <c r="F57" s="1">
        <f t="shared" si="0"/>
        <v>20.3858891</v>
      </c>
      <c r="G57" s="2">
        <f t="shared" si="1"/>
        <v>2.4332014512224713</v>
      </c>
    </row>
    <row r="58" spans="1:7" x14ac:dyDescent="0.25">
      <c r="A58" s="166"/>
      <c r="B58" s="32">
        <v>0.8</v>
      </c>
      <c r="C58" s="87">
        <v>18.987816200000001</v>
      </c>
      <c r="D58" s="88">
        <v>24.965542599999999</v>
      </c>
      <c r="E58" s="119">
        <v>19.6849615</v>
      </c>
      <c r="F58" s="1">
        <f t="shared" si="0"/>
        <v>21.212773433333336</v>
      </c>
      <c r="G58" s="2">
        <f t="shared" si="1"/>
        <v>2.6688274836265884</v>
      </c>
    </row>
    <row r="59" spans="1:7" x14ac:dyDescent="0.25">
      <c r="A59" s="166"/>
      <c r="B59" s="32">
        <v>0.7</v>
      </c>
      <c r="C59" s="78">
        <v>19.769881300000002</v>
      </c>
      <c r="D59" s="79">
        <v>26.469646600000001</v>
      </c>
      <c r="E59" s="114">
        <v>20.998763799999999</v>
      </c>
      <c r="F59" s="1">
        <f t="shared" si="0"/>
        <v>22.412763899999998</v>
      </c>
      <c r="G59" s="2">
        <f t="shared" si="1"/>
        <v>2.9121882930047858</v>
      </c>
    </row>
    <row r="60" spans="1:7" x14ac:dyDescent="0.25">
      <c r="A60" s="166"/>
      <c r="B60" s="32">
        <v>0.6</v>
      </c>
      <c r="C60" s="78">
        <v>20.924544600000001</v>
      </c>
      <c r="D60" s="79">
        <v>28.739514799999998</v>
      </c>
      <c r="E60" s="114">
        <v>23.059675599999998</v>
      </c>
      <c r="F60" s="1">
        <f t="shared" si="0"/>
        <v>24.241245000000003</v>
      </c>
      <c r="G60" s="2">
        <f t="shared" si="1"/>
        <v>3.2980316849078437</v>
      </c>
    </row>
    <row r="61" spans="1:7" x14ac:dyDescent="0.25">
      <c r="A61" s="166"/>
      <c r="B61" s="32">
        <v>0.5</v>
      </c>
      <c r="C61" s="78">
        <v>23.2313896</v>
      </c>
      <c r="D61" s="79">
        <v>32.4548281</v>
      </c>
      <c r="E61" s="114">
        <v>27.056864699999998</v>
      </c>
      <c r="F61" s="1">
        <f t="shared" si="0"/>
        <v>27.581027466666665</v>
      </c>
      <c r="G61" s="2">
        <f t="shared" si="1"/>
        <v>3.7836503005510913</v>
      </c>
    </row>
    <row r="62" spans="1:7" x14ac:dyDescent="0.25">
      <c r="A62" s="166"/>
      <c r="B62" s="32">
        <v>0.4</v>
      </c>
      <c r="C62" s="78">
        <v>28.135354700000001</v>
      </c>
      <c r="D62" s="79">
        <v>40.001956399999997</v>
      </c>
      <c r="E62" s="114">
        <v>35.9517223</v>
      </c>
      <c r="F62" s="1">
        <f t="shared" si="0"/>
        <v>34.696344466666666</v>
      </c>
      <c r="G62" s="2">
        <f t="shared" si="1"/>
        <v>4.9251760784043039</v>
      </c>
    </row>
    <row r="63" spans="1:7" x14ac:dyDescent="0.25">
      <c r="A63" s="166"/>
      <c r="B63" s="32">
        <v>0.3</v>
      </c>
      <c r="C63" s="78">
        <v>39.456360599999996</v>
      </c>
      <c r="D63" s="79">
        <v>56.029338600000003</v>
      </c>
      <c r="E63" s="114">
        <v>59.653298399999997</v>
      </c>
      <c r="F63" s="1">
        <f t="shared" si="0"/>
        <v>51.712999199999992</v>
      </c>
      <c r="G63" s="2">
        <f t="shared" si="1"/>
        <v>8.7921238801654162</v>
      </c>
    </row>
    <row r="64" spans="1:7" x14ac:dyDescent="0.25">
      <c r="A64" s="166"/>
      <c r="B64" s="32">
        <v>0.2</v>
      </c>
      <c r="C64" s="78">
        <v>58.625497000000003</v>
      </c>
      <c r="D64" s="79">
        <v>73.586579099999994</v>
      </c>
      <c r="E64" s="114">
        <v>81.983411599999997</v>
      </c>
      <c r="F64" s="1">
        <f t="shared" si="0"/>
        <v>71.3984959</v>
      </c>
      <c r="G64" s="2">
        <f t="shared" si="1"/>
        <v>9.6605322380227303</v>
      </c>
    </row>
    <row r="65" spans="1:7" x14ac:dyDescent="0.25">
      <c r="A65" s="166"/>
      <c r="B65" s="32">
        <v>0.1</v>
      </c>
      <c r="C65" s="78">
        <v>72.642458599999998</v>
      </c>
      <c r="D65" s="79">
        <v>84.2002229</v>
      </c>
      <c r="E65" s="114">
        <v>88.467361800000006</v>
      </c>
      <c r="F65" s="1">
        <f t="shared" si="0"/>
        <v>81.770014433333344</v>
      </c>
      <c r="G65" s="2">
        <f t="shared" si="1"/>
        <v>6.6851240435231212</v>
      </c>
    </row>
    <row r="66" spans="1:7" x14ac:dyDescent="0.25">
      <c r="A66" s="166"/>
      <c r="B66" s="32">
        <v>0.5</v>
      </c>
      <c r="C66" s="78">
        <v>15.545040999999999</v>
      </c>
      <c r="D66" s="79">
        <v>22.255778500000002</v>
      </c>
      <c r="E66" s="114">
        <v>16.1860626</v>
      </c>
      <c r="F66" s="1">
        <f t="shared" si="0"/>
        <v>17.995627366666668</v>
      </c>
      <c r="G66" s="2">
        <f t="shared" si="1"/>
        <v>3.0237276036979792</v>
      </c>
    </row>
    <row r="67" spans="1:7" ht="15.75" thickBot="1" x14ac:dyDescent="0.3">
      <c r="A67" s="167"/>
      <c r="B67" s="33">
        <v>0.2</v>
      </c>
      <c r="C67" s="81">
        <v>35.225935499999999</v>
      </c>
      <c r="D67" s="82">
        <v>47.027500000000003</v>
      </c>
      <c r="E67" s="115">
        <v>38.819572399999998</v>
      </c>
      <c r="F67" s="1">
        <f t="shared" si="0"/>
        <v>40.357669299999998</v>
      </c>
      <c r="G67" s="2">
        <f t="shared" si="1"/>
        <v>4.9391995112067759</v>
      </c>
    </row>
    <row r="68" spans="1:7" ht="15.75" thickTop="1" x14ac:dyDescent="0.25">
      <c r="A68" s="165" t="s">
        <v>88</v>
      </c>
      <c r="B68" s="31">
        <v>0.9</v>
      </c>
      <c r="C68" s="78">
        <v>18.677739200000001</v>
      </c>
      <c r="D68" s="79">
        <v>24.2994263</v>
      </c>
      <c r="E68" s="114">
        <v>19.2299507</v>
      </c>
      <c r="F68" s="1">
        <f t="shared" si="0"/>
        <v>20.735705400000001</v>
      </c>
      <c r="G68" s="2">
        <f t="shared" si="1"/>
        <v>2.5299953063205125</v>
      </c>
    </row>
    <row r="69" spans="1:7" x14ac:dyDescent="0.25">
      <c r="A69" s="166"/>
      <c r="B69" s="32">
        <v>0.8</v>
      </c>
      <c r="C69" s="78">
        <v>19.342798500000001</v>
      </c>
      <c r="D69" s="79">
        <v>25.362925700000002</v>
      </c>
      <c r="E69" s="114">
        <v>20.083084199999998</v>
      </c>
      <c r="F69" s="1">
        <f t="shared" si="0"/>
        <v>21.596269466666669</v>
      </c>
      <c r="G69" s="2">
        <f t="shared" si="1"/>
        <v>2.6805198643158374</v>
      </c>
    </row>
    <row r="70" spans="1:7" x14ac:dyDescent="0.25">
      <c r="A70" s="166"/>
      <c r="B70" s="32">
        <v>0.7</v>
      </c>
      <c r="C70" s="78">
        <v>20.181418099999998</v>
      </c>
      <c r="D70" s="79">
        <v>26.925762800000001</v>
      </c>
      <c r="E70" s="114">
        <v>21.3063629</v>
      </c>
      <c r="F70" s="1">
        <f t="shared" si="0"/>
        <v>22.804514600000001</v>
      </c>
      <c r="G70" s="2">
        <f t="shared" si="1"/>
        <v>2.9501288384593285</v>
      </c>
    </row>
    <row r="71" spans="1:7" x14ac:dyDescent="0.25">
      <c r="A71" s="166"/>
      <c r="B71" s="32">
        <v>0.6</v>
      </c>
      <c r="C71" s="78">
        <v>21.396039500000001</v>
      </c>
      <c r="D71" s="79">
        <v>29.2570525</v>
      </c>
      <c r="E71" s="114">
        <v>23.4521233</v>
      </c>
      <c r="F71" s="1">
        <f t="shared" si="0"/>
        <v>24.701738433333333</v>
      </c>
      <c r="G71" s="2">
        <f t="shared" si="1"/>
        <v>3.3286668835670783</v>
      </c>
    </row>
    <row r="72" spans="1:7" x14ac:dyDescent="0.25">
      <c r="A72" s="166"/>
      <c r="B72" s="32">
        <v>0.5</v>
      </c>
      <c r="C72" s="78">
        <v>23.727735800000001</v>
      </c>
      <c r="D72" s="79">
        <v>33.253183700000001</v>
      </c>
      <c r="E72" s="114">
        <v>27.6561214</v>
      </c>
      <c r="F72" s="1">
        <f t="shared" si="0"/>
        <v>28.212346966666669</v>
      </c>
      <c r="G72" s="2">
        <f t="shared" si="1"/>
        <v>3.9085870920887169</v>
      </c>
    </row>
    <row r="73" spans="1:7" x14ac:dyDescent="0.25">
      <c r="A73" s="166"/>
      <c r="B73" s="32">
        <v>0.4</v>
      </c>
      <c r="C73" s="78">
        <v>28.954868000000001</v>
      </c>
      <c r="D73" s="79">
        <v>41.025409199999999</v>
      </c>
      <c r="E73" s="114">
        <v>37.247348299999999</v>
      </c>
      <c r="F73" s="1">
        <f t="shared" si="0"/>
        <v>35.742541833333334</v>
      </c>
      <c r="G73" s="2">
        <f t="shared" si="1"/>
        <v>5.0413505526340598</v>
      </c>
    </row>
    <row r="74" spans="1:7" x14ac:dyDescent="0.25">
      <c r="A74" s="166"/>
      <c r="B74" s="32">
        <v>0.3</v>
      </c>
      <c r="C74" s="78">
        <v>40.603710700000001</v>
      </c>
      <c r="D74" s="79">
        <v>56.881629699999998</v>
      </c>
      <c r="E74" s="114">
        <v>59.212707999999999</v>
      </c>
      <c r="F74" s="1">
        <f t="shared" si="0"/>
        <v>52.232682799999999</v>
      </c>
      <c r="G74" s="2">
        <f t="shared" si="1"/>
        <v>8.277810724546125</v>
      </c>
    </row>
    <row r="75" spans="1:7" x14ac:dyDescent="0.25">
      <c r="A75" s="166"/>
      <c r="B75" s="32">
        <v>0.2</v>
      </c>
      <c r="C75" s="78">
        <v>61.6162359</v>
      </c>
      <c r="D75" s="79">
        <v>74.542980600000007</v>
      </c>
      <c r="E75" s="114">
        <v>78.593367999999998</v>
      </c>
      <c r="F75" s="1">
        <f t="shared" si="0"/>
        <v>71.584194833333342</v>
      </c>
      <c r="G75" s="2">
        <f t="shared" si="1"/>
        <v>7.2397773213906698</v>
      </c>
    </row>
    <row r="76" spans="1:7" x14ac:dyDescent="0.25">
      <c r="A76" s="166"/>
      <c r="B76" s="32">
        <v>0.1</v>
      </c>
      <c r="C76" s="78">
        <v>133.955659</v>
      </c>
      <c r="D76" s="79">
        <v>111.739018</v>
      </c>
      <c r="E76" s="114">
        <v>143.23368400000001</v>
      </c>
      <c r="F76" s="1">
        <f t="shared" si="0"/>
        <v>129.642787</v>
      </c>
      <c r="G76" s="2">
        <f t="shared" si="1"/>
        <v>13.214364539625818</v>
      </c>
    </row>
    <row r="77" spans="1:7" x14ac:dyDescent="0.25">
      <c r="A77" s="166"/>
      <c r="B77" s="32">
        <v>0.5</v>
      </c>
      <c r="C77" s="78">
        <v>15.503539399999999</v>
      </c>
      <c r="D77" s="79">
        <v>22.4042797</v>
      </c>
      <c r="E77" s="114">
        <v>16.1747765</v>
      </c>
      <c r="F77" s="1">
        <f t="shared" ref="F77:F138" si="2">AVERAGE(C77:E77)</f>
        <v>18.027531866666667</v>
      </c>
      <c r="G77" s="2">
        <f t="shared" ref="G77:G138" si="3">_xlfn.STDEV.P(C77:E77)</f>
        <v>3.106936434125545</v>
      </c>
    </row>
    <row r="78" spans="1:7" ht="15.75" thickBot="1" x14ac:dyDescent="0.3">
      <c r="A78" s="167"/>
      <c r="B78" s="33">
        <v>0.2</v>
      </c>
      <c r="C78" s="81">
        <v>42.551663499999997</v>
      </c>
      <c r="D78" s="82">
        <v>55.467754300000003</v>
      </c>
      <c r="E78" s="115">
        <v>46.734994999999998</v>
      </c>
      <c r="F78" s="1">
        <f t="shared" si="2"/>
        <v>48.251470933333337</v>
      </c>
      <c r="G78" s="2">
        <f t="shared" si="3"/>
        <v>5.3808998523013241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1.9898015999999998E-2</v>
      </c>
      <c r="D80">
        <f>D25</f>
        <v>1.9367711999999995E-2</v>
      </c>
      <c r="E80">
        <f>E25</f>
        <v>1.9530143999999999E-2</v>
      </c>
      <c r="F80" s="1">
        <f t="shared" si="2"/>
        <v>1.9598623999999999E-2</v>
      </c>
      <c r="G80" s="2">
        <f t="shared" si="3"/>
        <v>2.218448645698166E-4</v>
      </c>
    </row>
    <row r="81" spans="1:7" ht="15.75" thickTop="1" x14ac:dyDescent="0.25">
      <c r="A81" s="161" t="s">
        <v>90</v>
      </c>
      <c r="B81" s="38" t="s">
        <v>73</v>
      </c>
      <c r="C81">
        <f>C33/C80</f>
        <v>174.58811974017914</v>
      </c>
      <c r="D81">
        <f>D33/D80</f>
        <v>228.12180034482137</v>
      </c>
      <c r="E81">
        <f>E33/E80</f>
        <v>181.80548950381524</v>
      </c>
      <c r="F81" s="1">
        <f t="shared" si="2"/>
        <v>194.83846986293858</v>
      </c>
      <c r="G81" s="2">
        <f t="shared" si="3"/>
        <v>23.718595694109414</v>
      </c>
    </row>
    <row r="82" spans="1:7" x14ac:dyDescent="0.25">
      <c r="A82" s="162"/>
      <c r="B82" s="38" t="s">
        <v>74</v>
      </c>
      <c r="C82">
        <f>C34/C80</f>
        <v>164.9384129553419</v>
      </c>
      <c r="D82">
        <f>D34/D80</f>
        <v>170.21955613548988</v>
      </c>
      <c r="E82">
        <f>E34/E80</f>
        <v>168.10637084908333</v>
      </c>
      <c r="F82" s="1">
        <f t="shared" si="2"/>
        <v>167.75477997997169</v>
      </c>
      <c r="G82" s="2">
        <f t="shared" si="3"/>
        <v>2.1703041916956982</v>
      </c>
    </row>
    <row r="83" spans="1:7" x14ac:dyDescent="0.25">
      <c r="A83" s="162"/>
      <c r="B83" s="38" t="s">
        <v>75</v>
      </c>
      <c r="C83">
        <f>C35/C80</f>
        <v>158.87000090863333</v>
      </c>
      <c r="D83">
        <f>D35/D80</f>
        <v>162.73051096587974</v>
      </c>
      <c r="E83">
        <f>E35/E80</f>
        <v>160.19949468882564</v>
      </c>
      <c r="F83" s="1">
        <f t="shared" si="2"/>
        <v>160.60000218777955</v>
      </c>
      <c r="G83" s="2">
        <f t="shared" si="3"/>
        <v>1.601288890875916</v>
      </c>
    </row>
    <row r="84" spans="1:7" x14ac:dyDescent="0.25">
      <c r="A84" s="162"/>
      <c r="B84" s="38" t="s">
        <v>76</v>
      </c>
      <c r="C84">
        <f>C36/C80</f>
        <v>160.24285235271699</v>
      </c>
      <c r="D84">
        <f>D36/D80</f>
        <v>162.82190069740818</v>
      </c>
      <c r="E84">
        <f>E36/E80</f>
        <v>160.85422053211693</v>
      </c>
      <c r="F84" s="1">
        <f t="shared" si="2"/>
        <v>161.30632452741403</v>
      </c>
      <c r="G84" s="2">
        <f t="shared" si="3"/>
        <v>1.1003548239806693</v>
      </c>
    </row>
    <row r="85" spans="1:7" x14ac:dyDescent="0.25">
      <c r="A85" s="162"/>
      <c r="B85" s="38" t="s">
        <v>77</v>
      </c>
      <c r="C85">
        <f>C37/C80</f>
        <v>160.99165866586901</v>
      </c>
      <c r="D85">
        <f>D37/D80</f>
        <v>162.51515925061261</v>
      </c>
      <c r="E85">
        <f>E37/E80</f>
        <v>161.27849031732691</v>
      </c>
      <c r="F85" s="1">
        <f t="shared" si="2"/>
        <v>161.59510274460285</v>
      </c>
      <c r="G85" s="2">
        <f t="shared" si="3"/>
        <v>0.66103256589353809</v>
      </c>
    </row>
    <row r="86" spans="1:7" x14ac:dyDescent="0.25">
      <c r="A86" s="162"/>
      <c r="B86" s="38" t="s">
        <v>78</v>
      </c>
      <c r="C86">
        <f>C38/C80</f>
        <v>161.47287347643106</v>
      </c>
      <c r="D86">
        <f>D38/D80</f>
        <v>162.87492399721768</v>
      </c>
      <c r="E86">
        <f>E38/E80</f>
        <v>161.44247477130739</v>
      </c>
      <c r="F86" s="1">
        <f t="shared" si="2"/>
        <v>161.93009074831869</v>
      </c>
      <c r="G86" s="2">
        <f t="shared" si="3"/>
        <v>0.66821325013652866</v>
      </c>
    </row>
    <row r="87" spans="1:7" x14ac:dyDescent="0.25">
      <c r="A87" s="162"/>
      <c r="B87" s="38" t="s">
        <v>79</v>
      </c>
      <c r="C87">
        <f>C39/C80</f>
        <v>162.60591658987511</v>
      </c>
      <c r="D87">
        <f>D39/D80</f>
        <v>163.84118165325881</v>
      </c>
      <c r="E87">
        <f>E39/E80</f>
        <v>162.75976766991582</v>
      </c>
      <c r="F87" s="1">
        <f t="shared" si="2"/>
        <v>163.06895530434994</v>
      </c>
      <c r="G87" s="2">
        <f t="shared" si="3"/>
        <v>0.54964697104553861</v>
      </c>
    </row>
    <row r="88" spans="1:7" x14ac:dyDescent="0.25">
      <c r="A88" s="162"/>
      <c r="B88" s="38" t="s">
        <v>80</v>
      </c>
      <c r="C88">
        <f>C40/C80</f>
        <v>162.16168988908242</v>
      </c>
      <c r="D88">
        <f>D40/D80</f>
        <v>162.81434275767839</v>
      </c>
      <c r="E88">
        <f>E40/E80</f>
        <v>162.38730037013553</v>
      </c>
      <c r="F88" s="1">
        <f t="shared" si="2"/>
        <v>162.45444433896546</v>
      </c>
      <c r="G88" s="2">
        <f t="shared" si="3"/>
        <v>0.27064143084446607</v>
      </c>
    </row>
    <row r="89" spans="1:7" x14ac:dyDescent="0.25">
      <c r="A89" s="162"/>
      <c r="B89" s="38" t="s">
        <v>80</v>
      </c>
      <c r="C89">
        <f>C41/C80</f>
        <v>155.55177410652399</v>
      </c>
      <c r="D89">
        <f>D41/D80</f>
        <v>156.3161389429996</v>
      </c>
      <c r="E89">
        <f>E41/E80</f>
        <v>155.83857087792083</v>
      </c>
      <c r="F89" s="1">
        <f t="shared" si="2"/>
        <v>155.90216130914814</v>
      </c>
      <c r="G89" s="2">
        <f t="shared" si="3"/>
        <v>0.3152736462375208</v>
      </c>
    </row>
    <row r="90" spans="1:7" x14ac:dyDescent="0.25">
      <c r="A90" s="162"/>
      <c r="B90" s="38" t="s">
        <v>80</v>
      </c>
      <c r="C90">
        <f>C42/C80</f>
        <v>149.64786991828734</v>
      </c>
      <c r="D90">
        <f>D42/D80</f>
        <v>150.6132670704728</v>
      </c>
      <c r="E90">
        <f>E42/E80</f>
        <v>149.97191111340501</v>
      </c>
      <c r="F90" s="1">
        <f t="shared" si="2"/>
        <v>150.07768270072174</v>
      </c>
      <c r="G90" s="2">
        <f t="shared" si="3"/>
        <v>0.40115552833829971</v>
      </c>
    </row>
    <row r="91" spans="1:7" x14ac:dyDescent="0.25">
      <c r="A91" s="162"/>
      <c r="B91" s="38" t="s">
        <v>80</v>
      </c>
      <c r="C91">
        <f>C43/C80</f>
        <v>132.61467927254657</v>
      </c>
      <c r="D91">
        <f>D43/D80</f>
        <v>133.18570309182627</v>
      </c>
      <c r="E91">
        <f>E43/E80</f>
        <v>132.79850675960199</v>
      </c>
      <c r="F91" s="1">
        <f t="shared" si="2"/>
        <v>132.86629637465828</v>
      </c>
      <c r="G91" s="2">
        <f t="shared" si="3"/>
        <v>0.23799667291554574</v>
      </c>
    </row>
    <row r="92" spans="1:7" ht="15.75" thickBot="1" x14ac:dyDescent="0.3">
      <c r="A92" s="163"/>
      <c r="B92" s="39" t="s">
        <v>80</v>
      </c>
      <c r="C92">
        <f>C44/C80</f>
        <v>128.05390044917044</v>
      </c>
      <c r="D92">
        <f>D44/D80</f>
        <v>129.99568095601592</v>
      </c>
      <c r="E92">
        <f>E44/E80</f>
        <v>127.98817970824997</v>
      </c>
      <c r="F92" s="1">
        <f t="shared" si="2"/>
        <v>128.67925370447878</v>
      </c>
      <c r="G92" s="2">
        <f t="shared" si="3"/>
        <v>0.93124122739098592</v>
      </c>
    </row>
    <row r="93" spans="1:7" ht="15.75" thickTop="1" x14ac:dyDescent="0.25">
      <c r="A93" s="161" t="s">
        <v>91</v>
      </c>
      <c r="B93" s="40" t="s">
        <v>73</v>
      </c>
      <c r="C93">
        <f>C45/C80</f>
        <v>159.39112623087649</v>
      </c>
      <c r="D93">
        <f>D45/D80</f>
        <v>168.72085923210759</v>
      </c>
      <c r="E93">
        <f>E45/E80</f>
        <v>166.93560887211072</v>
      </c>
      <c r="F93" s="1">
        <f t="shared" si="2"/>
        <v>165.01586477836494</v>
      </c>
      <c r="G93" s="2">
        <f t="shared" si="3"/>
        <v>4.0435168280156812</v>
      </c>
    </row>
    <row r="94" spans="1:7" x14ac:dyDescent="0.25">
      <c r="A94" s="162"/>
      <c r="B94" s="38" t="s">
        <v>74</v>
      </c>
      <c r="C94">
        <f>C46/C80</f>
        <v>156.2969006558242</v>
      </c>
      <c r="D94">
        <f>D46/D80</f>
        <v>161.92956039412402</v>
      </c>
      <c r="E94">
        <f>E46/E80</f>
        <v>159.7577421856183</v>
      </c>
      <c r="F94" s="1">
        <f t="shared" si="2"/>
        <v>159.32806774518883</v>
      </c>
      <c r="G94" s="2">
        <f t="shared" si="3"/>
        <v>2.3195084285877945</v>
      </c>
    </row>
    <row r="95" spans="1:7" x14ac:dyDescent="0.25">
      <c r="A95" s="162"/>
      <c r="B95" s="38" t="s">
        <v>75</v>
      </c>
      <c r="C95">
        <f>C47/C80</f>
        <v>158.75627097696577</v>
      </c>
      <c r="D95">
        <f>D47/D80</f>
        <v>162.13469355595544</v>
      </c>
      <c r="E95">
        <f>E47/E80</f>
        <v>160.40849314782318</v>
      </c>
      <c r="F95" s="1">
        <f t="shared" si="2"/>
        <v>160.43315256024812</v>
      </c>
      <c r="G95" s="2">
        <f t="shared" si="3"/>
        <v>1.3793454596347894</v>
      </c>
    </row>
    <row r="96" spans="1:7" x14ac:dyDescent="0.25">
      <c r="A96" s="162"/>
      <c r="B96" s="38" t="s">
        <v>76</v>
      </c>
      <c r="C96">
        <f>C48/C80</f>
        <v>160.09188403507164</v>
      </c>
      <c r="D96">
        <f>D48/D80</f>
        <v>161.83868646952209</v>
      </c>
      <c r="E96">
        <f>E48/E80</f>
        <v>160.89337897354983</v>
      </c>
      <c r="F96" s="1">
        <f t="shared" si="2"/>
        <v>160.94131649271452</v>
      </c>
      <c r="G96" s="2">
        <f t="shared" si="3"/>
        <v>0.71393425960576529</v>
      </c>
    </row>
    <row r="97" spans="1:7" x14ac:dyDescent="0.25">
      <c r="A97" s="162"/>
      <c r="B97" s="38" t="s">
        <v>77</v>
      </c>
      <c r="C97">
        <f>C49/C80</f>
        <v>160.78702519889424</v>
      </c>
      <c r="D97">
        <f>D49/D80</f>
        <v>162.25005462699986</v>
      </c>
      <c r="E97">
        <f>E49/E80</f>
        <v>161.03265546838773</v>
      </c>
      <c r="F97" s="1">
        <f t="shared" si="2"/>
        <v>161.35657843142727</v>
      </c>
      <c r="G97" s="2">
        <f t="shared" si="3"/>
        <v>0.6396917702373015</v>
      </c>
    </row>
    <row r="98" spans="1:7" x14ac:dyDescent="0.25">
      <c r="A98" s="162"/>
      <c r="B98" s="38" t="s">
        <v>78</v>
      </c>
      <c r="C98">
        <f>C50/C80</f>
        <v>161.21398384642973</v>
      </c>
      <c r="D98">
        <f>D50/D80</f>
        <v>162.24566226511428</v>
      </c>
      <c r="E98">
        <f>E50/E80</f>
        <v>161.66330417225802</v>
      </c>
      <c r="F98" s="1">
        <f t="shared" si="2"/>
        <v>161.70765009460067</v>
      </c>
      <c r="G98" s="2">
        <f t="shared" si="3"/>
        <v>0.42234662740153667</v>
      </c>
    </row>
    <row r="99" spans="1:7" x14ac:dyDescent="0.25">
      <c r="A99" s="162"/>
      <c r="B99" s="38" t="s">
        <v>79</v>
      </c>
      <c r="C99">
        <f>C51/C80</f>
        <v>162.17598277134769</v>
      </c>
      <c r="D99">
        <f>D51/D80</f>
        <v>162.93681101825558</v>
      </c>
      <c r="E99">
        <f>E51/E80</f>
        <v>162.60492242146296</v>
      </c>
      <c r="F99" s="1">
        <f t="shared" si="2"/>
        <v>162.57257207035542</v>
      </c>
      <c r="G99" s="2">
        <f t="shared" si="3"/>
        <v>0.31144803123027354</v>
      </c>
    </row>
    <row r="100" spans="1:7" x14ac:dyDescent="0.25">
      <c r="A100" s="162"/>
      <c r="B100" s="38" t="s">
        <v>82</v>
      </c>
      <c r="C100">
        <f>C52/C80</f>
        <v>154.74460870872758</v>
      </c>
      <c r="D100">
        <f>D52/D80</f>
        <v>155.51366883191989</v>
      </c>
      <c r="E100">
        <f>E52/E80</f>
        <v>155.44847902811162</v>
      </c>
      <c r="F100" s="1">
        <f t="shared" si="2"/>
        <v>155.23558552291968</v>
      </c>
      <c r="G100" s="2">
        <f t="shared" si="3"/>
        <v>0.34819161552782801</v>
      </c>
    </row>
    <row r="101" spans="1:7" x14ac:dyDescent="0.25">
      <c r="A101" s="162"/>
      <c r="B101" s="38" t="s">
        <v>83</v>
      </c>
      <c r="C101">
        <f>C53/C80</f>
        <v>149.09153405042997</v>
      </c>
      <c r="D101">
        <f>D53/D80</f>
        <v>150.03648030288764</v>
      </c>
      <c r="E101">
        <f>E53/E80</f>
        <v>149.64156741496635</v>
      </c>
      <c r="F101" s="1">
        <f t="shared" si="2"/>
        <v>149.58986058942799</v>
      </c>
      <c r="G101" s="2">
        <f t="shared" si="3"/>
        <v>0.38750144246087559</v>
      </c>
    </row>
    <row r="102" spans="1:7" x14ac:dyDescent="0.25">
      <c r="A102" s="162"/>
      <c r="B102" s="38" t="s">
        <v>84</v>
      </c>
      <c r="C102">
        <f>C54/C80</f>
        <v>142.22551333761118</v>
      </c>
      <c r="D102">
        <f>D54/D80</f>
        <v>143.43909956942775</v>
      </c>
      <c r="E102">
        <f>E54/E80</f>
        <v>142.41773639764253</v>
      </c>
      <c r="F102" s="1">
        <f t="shared" si="2"/>
        <v>142.6941164348938</v>
      </c>
      <c r="G102" s="2">
        <f t="shared" si="3"/>
        <v>0.53259573740750044</v>
      </c>
    </row>
    <row r="103" spans="1:7" x14ac:dyDescent="0.25">
      <c r="A103" s="162"/>
      <c r="B103" s="38" t="s">
        <v>85</v>
      </c>
      <c r="C103">
        <f>C55/C80</f>
        <v>127.42778224723511</v>
      </c>
      <c r="D103">
        <f>D55/D80</f>
        <v>129.36892494064352</v>
      </c>
      <c r="E103">
        <f>E55/E80</f>
        <v>127.72556771726825</v>
      </c>
      <c r="F103" s="1">
        <f t="shared" si="2"/>
        <v>128.17409163504894</v>
      </c>
      <c r="G103" s="2">
        <f t="shared" si="3"/>
        <v>0.85357640457049244</v>
      </c>
    </row>
    <row r="104" spans="1:7" ht="15.75" thickBot="1" x14ac:dyDescent="0.3">
      <c r="A104" s="163"/>
      <c r="B104" s="39" t="s">
        <v>86</v>
      </c>
      <c r="C104">
        <f>C56/C80</f>
        <v>78.097317340583103</v>
      </c>
      <c r="D104">
        <f>D56/D80</f>
        <v>91.766177130267138</v>
      </c>
      <c r="E104">
        <f>E56/E80</f>
        <v>84.99007841416838</v>
      </c>
      <c r="F104" s="1">
        <f t="shared" si="2"/>
        <v>84.951190961672879</v>
      </c>
      <c r="G104" s="2">
        <f t="shared" si="3"/>
        <v>5.5803563902306133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0.78573769105438906</v>
      </c>
      <c r="D106">
        <f>D55/D51</f>
        <v>0.7939821832289875</v>
      </c>
      <c r="E106">
        <f>E55/E51</f>
        <v>0.78549631717919732</v>
      </c>
      <c r="F106" s="1">
        <f t="shared" si="2"/>
        <v>0.78840539715419133</v>
      </c>
      <c r="G106" s="2">
        <f t="shared" si="3"/>
        <v>3.9446142633500448E-3</v>
      </c>
    </row>
    <row r="107" spans="1:7" ht="15.75" thickBot="1" x14ac:dyDescent="0.3">
      <c r="A107" s="36"/>
      <c r="B107" s="39" t="s">
        <v>94</v>
      </c>
      <c r="C107">
        <f>(1-C45/C33)*100</f>
        <v>8.7044831755555325</v>
      </c>
      <c r="D107">
        <f>(1-D45/D33)*100</f>
        <v>26.039133928859627</v>
      </c>
      <c r="E107">
        <f>(1-E45/E33)*100</f>
        <v>8.1790053052234519</v>
      </c>
      <c r="F107" s="1">
        <f t="shared" si="2"/>
        <v>14.307540803212868</v>
      </c>
      <c r="G107" s="2">
        <f t="shared" si="3"/>
        <v>8.2982624565766336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6.7059096000000014E-3</v>
      </c>
      <c r="D110">
        <f>D16*D21/10^4</f>
        <v>6.362016800000001E-3</v>
      </c>
      <c r="E110">
        <f>E16*E21/10^4</f>
        <v>6.362016800000001E-3</v>
      </c>
      <c r="F110" s="1">
        <f t="shared" si="2"/>
        <v>6.4766477333333345E-3</v>
      </c>
      <c r="G110" s="2">
        <f t="shared" si="3"/>
        <v>1.621126205874863E-4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518.04414422765251</v>
      </c>
      <c r="D111">
        <f>D33/D110</f>
        <v>694.46489515714563</v>
      </c>
      <c r="E111">
        <f>E33/E110</f>
        <v>558.10720116300217</v>
      </c>
      <c r="F111" s="1">
        <f t="shared" si="2"/>
        <v>590.2054135159334</v>
      </c>
      <c r="G111" s="2">
        <f t="shared" si="3"/>
        <v>75.515083556518476</v>
      </c>
    </row>
    <row r="112" spans="1:7" x14ac:dyDescent="0.25">
      <c r="A112" s="162"/>
      <c r="B112" s="38" t="s">
        <v>74</v>
      </c>
      <c r="C112">
        <f>C34/C110</f>
        <v>489.41118740998229</v>
      </c>
      <c r="D112">
        <f>D34/D110</f>
        <v>518.19469260125175</v>
      </c>
      <c r="E112">
        <f>E34/E110</f>
        <v>516.05359325677978</v>
      </c>
      <c r="F112" s="1">
        <f t="shared" si="2"/>
        <v>507.88649108933788</v>
      </c>
      <c r="G112" s="2">
        <f t="shared" si="3"/>
        <v>13.093222448631806</v>
      </c>
    </row>
    <row r="113" spans="1:7" x14ac:dyDescent="0.25">
      <c r="A113" s="162"/>
      <c r="B113" s="38" t="s">
        <v>75</v>
      </c>
      <c r="C113">
        <f>C35/C110</f>
        <v>471.40477706409871</v>
      </c>
      <c r="D113">
        <f>D35/D110</f>
        <v>495.39599926865952</v>
      </c>
      <c r="E113">
        <f>E35/E110</f>
        <v>491.7810339639467</v>
      </c>
      <c r="F113" s="1">
        <f t="shared" si="2"/>
        <v>486.19393676556837</v>
      </c>
      <c r="G113" s="2">
        <f t="shared" si="3"/>
        <v>10.561137156109933</v>
      </c>
    </row>
    <row r="114" spans="1:7" x14ac:dyDescent="0.25">
      <c r="A114" s="162"/>
      <c r="B114" s="38" t="s">
        <v>76</v>
      </c>
      <c r="C114">
        <f>C36/C110</f>
        <v>475.47835121427812</v>
      </c>
      <c r="D114">
        <f>D36/D110</f>
        <v>495.67421450380317</v>
      </c>
      <c r="E114">
        <f>E36/E110</f>
        <v>493.79091391270759</v>
      </c>
      <c r="F114" s="1">
        <f t="shared" si="2"/>
        <v>488.31449321026298</v>
      </c>
      <c r="G114" s="2">
        <f t="shared" si="3"/>
        <v>9.1090289012210128</v>
      </c>
    </row>
    <row r="115" spans="1:7" x14ac:dyDescent="0.25">
      <c r="A115" s="162"/>
      <c r="B115" s="38" t="s">
        <v>77</v>
      </c>
      <c r="C115">
        <f>C37/C110</f>
        <v>477.7002362214962</v>
      </c>
      <c r="D115">
        <f>D37/D110</f>
        <v>494.74040999074379</v>
      </c>
      <c r="E115">
        <f>E37/E110</f>
        <v>495.09333895503067</v>
      </c>
      <c r="F115" s="1">
        <f t="shared" si="2"/>
        <v>489.17799505575687</v>
      </c>
      <c r="G115" s="2">
        <f t="shared" si="3"/>
        <v>8.1172799469832704</v>
      </c>
    </row>
    <row r="116" spans="1:7" x14ac:dyDescent="0.25">
      <c r="A116" s="162"/>
      <c r="B116" s="38" t="s">
        <v>78</v>
      </c>
      <c r="C116">
        <f>C38/C110</f>
        <v>479.12811410401349</v>
      </c>
      <c r="D116">
        <f>D38/D110</f>
        <v>495.83563187069853</v>
      </c>
      <c r="E116">
        <f>E38/E110</f>
        <v>495.59673907179871</v>
      </c>
      <c r="F116" s="1">
        <f t="shared" si="2"/>
        <v>490.18682834883697</v>
      </c>
      <c r="G116" s="2">
        <f t="shared" si="3"/>
        <v>7.8202999944092886</v>
      </c>
    </row>
    <row r="117" spans="1:7" x14ac:dyDescent="0.25">
      <c r="A117" s="162"/>
      <c r="B117" s="38" t="s">
        <v>79</v>
      </c>
      <c r="C117">
        <f>C39/C110</f>
        <v>482.49012035593194</v>
      </c>
      <c r="D117">
        <f>D39/D110</f>
        <v>498.77718336110013</v>
      </c>
      <c r="E117">
        <f>E39/E110</f>
        <v>499.64056995259733</v>
      </c>
      <c r="F117" s="1">
        <f t="shared" si="2"/>
        <v>493.63595788987647</v>
      </c>
      <c r="G117" s="2">
        <f t="shared" si="3"/>
        <v>7.8891752780380155</v>
      </c>
    </row>
    <row r="118" spans="1:7" x14ac:dyDescent="0.25">
      <c r="A118" s="162"/>
      <c r="B118" s="38" t="s">
        <v>80</v>
      </c>
      <c r="C118">
        <f>C40/C110</f>
        <v>481.17199492221005</v>
      </c>
      <c r="D118">
        <f>D40/D110</f>
        <v>495.65120607666421</v>
      </c>
      <c r="E118">
        <f>E40/E110</f>
        <v>498.49716838220229</v>
      </c>
      <c r="F118" s="1">
        <f t="shared" si="2"/>
        <v>491.77345646035883</v>
      </c>
      <c r="G118" s="2">
        <f t="shared" si="3"/>
        <v>7.5858691182914644</v>
      </c>
    </row>
    <row r="119" spans="1:7" x14ac:dyDescent="0.25">
      <c r="A119" s="162"/>
      <c r="B119" s="38" t="s">
        <v>80</v>
      </c>
      <c r="C119">
        <f>C41/C110</f>
        <v>461.55881522769101</v>
      </c>
      <c r="D119">
        <f>D41/D110</f>
        <v>475.86890370990523</v>
      </c>
      <c r="E119">
        <f>E41/E110</f>
        <v>478.39385303100732</v>
      </c>
      <c r="F119" s="1">
        <f t="shared" si="2"/>
        <v>471.94052398953454</v>
      </c>
      <c r="G119" s="2">
        <f t="shared" si="3"/>
        <v>7.4129953406315314</v>
      </c>
    </row>
    <row r="120" spans="1:7" x14ac:dyDescent="0.25">
      <c r="A120" s="162"/>
      <c r="B120" s="38" t="s">
        <v>80</v>
      </c>
      <c r="C120">
        <f>C42/C110</f>
        <v>444.04053851247852</v>
      </c>
      <c r="D120">
        <f>D42/D110</f>
        <v>458.50780840440405</v>
      </c>
      <c r="E120">
        <f>E42/E110</f>
        <v>460.38435799163551</v>
      </c>
      <c r="F120" s="1">
        <f t="shared" si="2"/>
        <v>454.31090163617273</v>
      </c>
      <c r="G120" s="2">
        <f t="shared" si="3"/>
        <v>7.302539677296636</v>
      </c>
    </row>
    <row r="121" spans="1:7" x14ac:dyDescent="0.25">
      <c r="A121" s="162"/>
      <c r="B121" s="38" t="s">
        <v>80</v>
      </c>
      <c r="C121">
        <f>C43/C110</f>
        <v>393.49904299336202</v>
      </c>
      <c r="D121">
        <f>D43/D110</f>
        <v>405.45355680293073</v>
      </c>
      <c r="E121">
        <f>E43/E110</f>
        <v>407.6653742882288</v>
      </c>
      <c r="F121" s="1">
        <f t="shared" si="2"/>
        <v>402.20599136150719</v>
      </c>
      <c r="G121" s="2">
        <f t="shared" si="3"/>
        <v>6.2226064507421572</v>
      </c>
    </row>
    <row r="122" spans="1:7" ht="15.75" thickBot="1" x14ac:dyDescent="0.3">
      <c r="A122" s="163"/>
      <c r="B122" s="39" t="s">
        <v>80</v>
      </c>
      <c r="C122">
        <f>C44/C110</f>
        <v>379.96613613759416</v>
      </c>
      <c r="D122">
        <f>D44/D110</f>
        <v>395.74226053599853</v>
      </c>
      <c r="E122">
        <f>E44/E110</f>
        <v>392.89861353399749</v>
      </c>
      <c r="F122" s="1">
        <f t="shared" si="2"/>
        <v>389.53567006919667</v>
      </c>
      <c r="G122" s="2">
        <f t="shared" si="3"/>
        <v>6.8655452232660537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472.95107885140578</v>
      </c>
      <c r="D123">
        <f>D45/D110</f>
        <v>513.63225101826185</v>
      </c>
      <c r="E123">
        <f>E45/E110</f>
        <v>512.4595835710461</v>
      </c>
      <c r="F123" s="1">
        <f t="shared" si="2"/>
        <v>499.68097114690454</v>
      </c>
      <c r="G123" s="2">
        <f t="shared" si="3"/>
        <v>18.906950112452726</v>
      </c>
    </row>
    <row r="124" spans="1:7" x14ac:dyDescent="0.25">
      <c r="A124" s="162"/>
      <c r="B124" s="38" t="s">
        <v>74</v>
      </c>
      <c r="C124">
        <f>C46/C110</f>
        <v>463.76978150734379</v>
      </c>
      <c r="D124">
        <f>D46/D110</f>
        <v>492.95768756850805</v>
      </c>
      <c r="E124">
        <f>E46/E110</f>
        <v>490.42494040569017</v>
      </c>
      <c r="F124" s="1">
        <f t="shared" si="2"/>
        <v>482.38413649384734</v>
      </c>
      <c r="G124" s="2">
        <f t="shared" si="3"/>
        <v>13.202887581140915</v>
      </c>
    </row>
    <row r="125" spans="1:7" x14ac:dyDescent="0.25">
      <c r="A125" s="162"/>
      <c r="B125" s="38" t="s">
        <v>75</v>
      </c>
      <c r="C125">
        <f>C47/C110</f>
        <v>471.06731352298561</v>
      </c>
      <c r="D125">
        <f>D47/D110</f>
        <v>493.58216878647653</v>
      </c>
      <c r="E125">
        <f>E47/E110</f>
        <v>492.42261824898031</v>
      </c>
      <c r="F125" s="1">
        <f t="shared" si="2"/>
        <v>485.69070018614752</v>
      </c>
      <c r="G125" s="2">
        <f t="shared" si="3"/>
        <v>10.35112610580792</v>
      </c>
    </row>
    <row r="126" spans="1:7" x14ac:dyDescent="0.25">
      <c r="A126" s="162"/>
      <c r="B126" s="38" t="s">
        <v>76</v>
      </c>
      <c r="C126">
        <f>C48/C110</f>
        <v>475.03039259580822</v>
      </c>
      <c r="D126">
        <f>D48/D110</f>
        <v>492.68104259014211</v>
      </c>
      <c r="E126">
        <f>E48/E110</f>
        <v>493.9111226490316</v>
      </c>
      <c r="F126" s="1">
        <f t="shared" si="2"/>
        <v>487.20751927832731</v>
      </c>
      <c r="G126" s="2">
        <f t="shared" si="3"/>
        <v>8.6251602852510576</v>
      </c>
    </row>
    <row r="127" spans="1:7" x14ac:dyDescent="0.25">
      <c r="A127" s="162"/>
      <c r="B127" s="38" t="s">
        <v>77</v>
      </c>
      <c r="C127">
        <f>C49/C110</f>
        <v>477.09304044301456</v>
      </c>
      <c r="D127">
        <f>D49/D110</f>
        <v>493.9333593083249</v>
      </c>
      <c r="E127">
        <f>E49/E110</f>
        <v>494.33867417640261</v>
      </c>
      <c r="F127" s="1">
        <f t="shared" si="2"/>
        <v>488.45502464258067</v>
      </c>
      <c r="G127" s="2">
        <f t="shared" si="3"/>
        <v>8.0358398751660864</v>
      </c>
    </row>
    <row r="128" spans="1:7" x14ac:dyDescent="0.25">
      <c r="A128" s="162"/>
      <c r="B128" s="38" t="s">
        <v>78</v>
      </c>
      <c r="C128">
        <f>C50/C110</f>
        <v>478.35992748843483</v>
      </c>
      <c r="D128">
        <f>D50/D110</f>
        <v>493.91998776237114</v>
      </c>
      <c r="E128">
        <f>E50/E110</f>
        <v>496.27464202860949</v>
      </c>
      <c r="F128" s="1">
        <f t="shared" si="2"/>
        <v>489.51818575980514</v>
      </c>
      <c r="G128" s="2">
        <f t="shared" si="3"/>
        <v>7.9484231105434464</v>
      </c>
    </row>
    <row r="129" spans="1:7" x14ac:dyDescent="0.25">
      <c r="A129" s="162"/>
      <c r="B129" s="38" t="s">
        <v>79</v>
      </c>
      <c r="C129">
        <f>C51/C110</f>
        <v>481.21440527620587</v>
      </c>
      <c r="D129">
        <f>D51/D110</f>
        <v>496.0240328192782</v>
      </c>
      <c r="E129">
        <f>E51/E110</f>
        <v>499.16522540462324</v>
      </c>
      <c r="F129" s="1">
        <f t="shared" si="2"/>
        <v>492.13455450003579</v>
      </c>
      <c r="G129" s="2">
        <f t="shared" si="3"/>
        <v>7.8274737098500822</v>
      </c>
    </row>
    <row r="130" spans="1:7" x14ac:dyDescent="0.25">
      <c r="A130" s="162"/>
      <c r="B130" s="38" t="s">
        <v>82</v>
      </c>
      <c r="C130">
        <f>C52/C110</f>
        <v>459.16376504687742</v>
      </c>
      <c r="D130">
        <f>D52/D110</f>
        <v>473.42596611816549</v>
      </c>
      <c r="E130">
        <f>E52/E110</f>
        <v>477.19634754815479</v>
      </c>
      <c r="F130" s="1">
        <f t="shared" si="2"/>
        <v>469.92869290439921</v>
      </c>
      <c r="G130" s="2">
        <f t="shared" si="3"/>
        <v>7.7660242022602954</v>
      </c>
    </row>
    <row r="131" spans="1:7" x14ac:dyDescent="0.25">
      <c r="A131" s="162"/>
      <c r="B131" s="38" t="s">
        <v>83</v>
      </c>
      <c r="C131">
        <f>C53/C110</f>
        <v>442.38975872862937</v>
      </c>
      <c r="D131">
        <f>D53/D110</f>
        <v>456.75191238099205</v>
      </c>
      <c r="E131">
        <f>E53/E110</f>
        <v>459.37026761702356</v>
      </c>
      <c r="F131" s="1">
        <f t="shared" si="2"/>
        <v>452.83731290888164</v>
      </c>
      <c r="G131" s="2">
        <f t="shared" si="3"/>
        <v>7.4644708362345282</v>
      </c>
    </row>
    <row r="132" spans="1:7" x14ac:dyDescent="0.25">
      <c r="A132" s="162"/>
      <c r="B132" s="38" t="s">
        <v>84</v>
      </c>
      <c r="C132">
        <f>C54/C110</f>
        <v>422.01665527969533</v>
      </c>
      <c r="D132">
        <f>D54/D110</f>
        <v>436.66768846004925</v>
      </c>
      <c r="E132">
        <f>E54/E110</f>
        <v>437.19452296950857</v>
      </c>
      <c r="F132" s="1">
        <f t="shared" si="2"/>
        <v>431.95962223641772</v>
      </c>
      <c r="G132" s="2">
        <f t="shared" si="3"/>
        <v>7.0340283658296512</v>
      </c>
    </row>
    <row r="133" spans="1:7" x14ac:dyDescent="0.25">
      <c r="A133" s="162"/>
      <c r="B133" s="38" t="s">
        <v>85</v>
      </c>
      <c r="C133">
        <f>C55/C110</f>
        <v>378.10829570383703</v>
      </c>
      <c r="D133">
        <f>D55/D110</f>
        <v>393.83424451189751</v>
      </c>
      <c r="E133">
        <f>E55/E110</f>
        <v>392.09244621925546</v>
      </c>
      <c r="F133" s="1">
        <f t="shared" si="2"/>
        <v>388.01166214499671</v>
      </c>
      <c r="G133" s="2">
        <f t="shared" si="3"/>
        <v>7.0387482539619155</v>
      </c>
    </row>
    <row r="134" spans="1:7" ht="15.75" thickBot="1" x14ac:dyDescent="0.3">
      <c r="A134" s="163"/>
      <c r="B134" s="39" t="s">
        <v>86</v>
      </c>
      <c r="C134">
        <f>C56/C110</f>
        <v>231.73316711576302</v>
      </c>
      <c r="D134">
        <f>D56/D110</f>
        <v>279.3612380904118</v>
      </c>
      <c r="E134">
        <f>E56/E110</f>
        <v>260.90287438411036</v>
      </c>
      <c r="F134" s="1">
        <f t="shared" si="2"/>
        <v>257.33242653009506</v>
      </c>
      <c r="G134" s="2">
        <f t="shared" si="3"/>
        <v>19.607300674327529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DD038</v>
      </c>
      <c r="D137" s="68" t="str">
        <f>D1</f>
        <v>DD039</v>
      </c>
      <c r="E137" s="68" t="str">
        <f>E1</f>
        <v>DD040</v>
      </c>
    </row>
    <row r="138" spans="1:7" ht="14.45" customHeight="1" x14ac:dyDescent="0.25">
      <c r="A138" s="172"/>
      <c r="B138" s="69" t="s">
        <v>100</v>
      </c>
      <c r="C138" s="68">
        <f>C25</f>
        <v>1.9898015999999998E-2</v>
      </c>
      <c r="D138" s="68">
        <f>D25</f>
        <v>1.9367711999999995E-2</v>
      </c>
      <c r="E138" s="68">
        <f>E25</f>
        <v>1.9530143999999999E-2</v>
      </c>
      <c r="F138" s="1">
        <f t="shared" si="2"/>
        <v>1.9598623999999999E-2</v>
      </c>
      <c r="G138" s="2">
        <f t="shared" si="3"/>
        <v>2.218448645698166E-4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39</v>
      </c>
      <c r="D142" s="68">
        <f>D21</f>
        <v>37</v>
      </c>
      <c r="E142" s="68">
        <f>E21</f>
        <v>37</v>
      </c>
      <c r="F142" s="1">
        <f t="shared" ref="F142:F151" si="4">AVERAGE(C142:E142)</f>
        <v>37.666666666666664</v>
      </c>
      <c r="G142" s="2">
        <f t="shared" ref="G142:G151" si="5">_xlfn.STDEV.P(C142:E142)</f>
        <v>0.94280904158206336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>D16</f>
        <v>1.7194640000000001</v>
      </c>
      <c r="E143" s="68">
        <f>E16</f>
        <v>1.7194640000000001</v>
      </c>
      <c r="F143" s="1">
        <f t="shared" si="4"/>
        <v>1.7194640000000001</v>
      </c>
      <c r="G143" s="2">
        <f t="shared" si="5"/>
        <v>0</v>
      </c>
    </row>
    <row r="144" spans="1:7" ht="14.45" customHeight="1" x14ac:dyDescent="0.25">
      <c r="A144" s="172"/>
      <c r="B144" s="69" t="s">
        <v>106</v>
      </c>
      <c r="C144" s="68">
        <f>C22</f>
        <v>120.5439602108564</v>
      </c>
      <c r="D144" s="68">
        <f>D22</f>
        <v>117.33133115901232</v>
      </c>
      <c r="E144" s="68">
        <f>E22</f>
        <v>118.31535873970027</v>
      </c>
      <c r="F144" s="1">
        <f t="shared" si="4"/>
        <v>118.73021670318967</v>
      </c>
      <c r="G144" s="2">
        <f t="shared" si="5"/>
        <v>1.3439560269569994</v>
      </c>
    </row>
    <row r="145" spans="1:7" ht="14.45" customHeight="1" x14ac:dyDescent="0.25">
      <c r="A145" s="172"/>
      <c r="B145" s="69" t="s">
        <v>107</v>
      </c>
      <c r="C145" s="68">
        <f>C24</f>
        <v>30.666873606160983</v>
      </c>
      <c r="D145" s="68">
        <f>D24</f>
        <v>28.866822378831671</v>
      </c>
      <c r="E145" s="68">
        <f>E24</f>
        <v>28.270246783977637</v>
      </c>
      <c r="F145" s="1">
        <f t="shared" si="4"/>
        <v>29.267980922990095</v>
      </c>
      <c r="G145" s="2">
        <f t="shared" si="5"/>
        <v>1.0187087134752644</v>
      </c>
    </row>
    <row r="146" spans="1:7" ht="14.45" customHeight="1" thickBot="1" x14ac:dyDescent="0.3">
      <c r="A146" s="173"/>
      <c r="B146" s="70" t="s">
        <v>108</v>
      </c>
      <c r="C146" s="68">
        <v>120</v>
      </c>
      <c r="D146" s="68">
        <v>120</v>
      </c>
      <c r="E146" s="68">
        <v>120</v>
      </c>
      <c r="F146" s="1">
        <f t="shared" si="4"/>
        <v>120</v>
      </c>
      <c r="G146" s="2">
        <f t="shared" si="5"/>
        <v>0</v>
      </c>
    </row>
    <row r="148" spans="1:7" x14ac:dyDescent="0.25">
      <c r="A148" s="168" t="s">
        <v>109</v>
      </c>
      <c r="B148" s="94" t="s">
        <v>110</v>
      </c>
      <c r="C148" s="97">
        <v>3.33</v>
      </c>
      <c r="D148" s="97">
        <v>3.23</v>
      </c>
      <c r="E148" s="97">
        <v>3.28</v>
      </c>
      <c r="F148" s="1">
        <f t="shared" si="4"/>
        <v>3.28</v>
      </c>
      <c r="G148" s="2">
        <f t="shared" si="5"/>
        <v>4.0824829046386339E-2</v>
      </c>
    </row>
    <row r="149" spans="1:7" x14ac:dyDescent="0.25">
      <c r="A149" s="169"/>
      <c r="B149" s="95" t="s">
        <v>111</v>
      </c>
      <c r="C149" s="97">
        <v>3.1</v>
      </c>
      <c r="D149" s="97">
        <v>3.01</v>
      </c>
      <c r="E149" s="97">
        <v>3.05</v>
      </c>
      <c r="F149" s="1">
        <f t="shared" si="4"/>
        <v>3.0533333333333332</v>
      </c>
      <c r="G149" s="2">
        <f t="shared" si="5"/>
        <v>3.6817870057290994E-2</v>
      </c>
    </row>
    <row r="150" spans="1:7" x14ac:dyDescent="0.25">
      <c r="A150" s="169"/>
      <c r="B150" s="95" t="s">
        <v>112</v>
      </c>
      <c r="C150" s="97">
        <v>3.04</v>
      </c>
      <c r="D150" s="97">
        <v>2.9</v>
      </c>
      <c r="E150" s="97">
        <v>2.99</v>
      </c>
      <c r="F150" s="1">
        <f t="shared" si="4"/>
        <v>2.9766666666666666</v>
      </c>
      <c r="G150" s="2">
        <f t="shared" si="5"/>
        <v>5.7927157323275955E-2</v>
      </c>
    </row>
    <row r="151" spans="1:7" ht="15.75" thickBot="1" x14ac:dyDescent="0.3">
      <c r="A151" s="170"/>
      <c r="B151" s="96" t="s">
        <v>113</v>
      </c>
      <c r="C151" s="97">
        <v>3.27</v>
      </c>
      <c r="D151" s="97">
        <v>3.12</v>
      </c>
      <c r="E151" s="97">
        <v>3.21</v>
      </c>
      <c r="F151" s="1">
        <f t="shared" si="4"/>
        <v>3.2000000000000006</v>
      </c>
      <c r="G151" s="2">
        <f t="shared" si="5"/>
        <v>6.1644140029689723E-2</v>
      </c>
    </row>
  </sheetData>
  <sortState xmlns:xlrd2="http://schemas.microsoft.com/office/spreadsheetml/2017/richdata2" columnSort="1" ref="C1:G148">
    <sortCondition descending="1" ref="C24:G24"/>
  </sortState>
  <mergeCells count="11">
    <mergeCell ref="A81:A92"/>
    <mergeCell ref="A1:A30"/>
    <mergeCell ref="A33:A44"/>
    <mergeCell ref="A45:A56"/>
    <mergeCell ref="A57:A67"/>
    <mergeCell ref="A68:A78"/>
    <mergeCell ref="A148:A151"/>
    <mergeCell ref="A93:A104"/>
    <mergeCell ref="A111:A122"/>
    <mergeCell ref="A123:A134"/>
    <mergeCell ref="A137:A146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1"/>
  <sheetViews>
    <sheetView zoomScale="85" zoomScaleNormal="85" workbookViewId="0">
      <pane ySplit="1" topLeftCell="A147" activePane="bottomLeft" state="frozen"/>
      <selection pane="bottomLeft" activeCell="A153" sqref="A153:XFD153"/>
    </sheetView>
  </sheetViews>
  <sheetFormatPr defaultRowHeight="15" x14ac:dyDescent="0.25"/>
  <cols>
    <col min="1" max="1" width="14.28515625" customWidth="1"/>
    <col min="2" max="2" width="43.140625" style="27" customWidth="1"/>
    <col min="3" max="5" width="15.2851562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s="60" t="s">
        <v>164</v>
      </c>
      <c r="D1" s="3" t="s">
        <v>165</v>
      </c>
      <c r="E1" s="3" t="s">
        <v>166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61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61">
        <v>0.9</v>
      </c>
      <c r="D5" s="8">
        <v>0.95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s="1" t="s">
        <v>167</v>
      </c>
      <c r="D8" t="s">
        <v>168</v>
      </c>
      <c r="E8" t="s">
        <v>169</v>
      </c>
    </row>
    <row r="9" spans="1:7" x14ac:dyDescent="0.25">
      <c r="A9" s="164"/>
      <c r="B9" s="20" t="s">
        <v>44</v>
      </c>
      <c r="C9" s="1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62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1">
        <v>2.6504799999999998E-2</v>
      </c>
      <c r="D12">
        <v>2.62674E-2</v>
      </c>
      <c r="E12">
        <v>2.6483900000000001E-2</v>
      </c>
      <c r="F12" s="1">
        <f t="shared" ref="F12:F25" si="0">AVERAGE(C12:E12)</f>
        <v>2.64187E-2</v>
      </c>
      <c r="G12" s="2">
        <f t="shared" ref="G12:G25" si="1">_xlfn.STDEV.P(C12:E12)</f>
        <v>1.0732495826538511E-4</v>
      </c>
    </row>
    <row r="13" spans="1:7" x14ac:dyDescent="0.25">
      <c r="A13" s="164"/>
      <c r="B13" s="21" t="s">
        <v>49</v>
      </c>
      <c r="C13" s="1">
        <v>59</v>
      </c>
      <c r="D13">
        <v>59</v>
      </c>
      <c r="E13">
        <v>60</v>
      </c>
      <c r="F13" s="1">
        <f t="shared" si="0"/>
        <v>59.333333333333336</v>
      </c>
      <c r="G13" s="2">
        <f t="shared" si="1"/>
        <v>0.47140452079103168</v>
      </c>
    </row>
    <row r="14" spans="1:7" x14ac:dyDescent="0.25">
      <c r="A14" s="164"/>
      <c r="B14" s="20" t="s">
        <v>50</v>
      </c>
      <c r="C14" s="61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63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 s="1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 s="1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2.0934799999999996E-2</v>
      </c>
      <c r="D18" s="11">
        <f t="shared" ref="D18:E18" si="2">D12-D14</f>
        <v>2.0697399999999998E-2</v>
      </c>
      <c r="E18" s="11">
        <f t="shared" si="2"/>
        <v>2.0913899999999999E-2</v>
      </c>
      <c r="F18" s="1">
        <f t="shared" si="0"/>
        <v>2.0848699999999998E-2</v>
      </c>
      <c r="G18" s="2">
        <f t="shared" si="1"/>
        <v>1.0732495826538511E-4</v>
      </c>
    </row>
    <row r="19" spans="1:7" x14ac:dyDescent="0.25">
      <c r="A19" s="164"/>
      <c r="B19" s="23" t="s">
        <v>55</v>
      </c>
      <c r="C19" s="12">
        <f>C18*C10/100*C11</f>
        <v>3.3160723199999991</v>
      </c>
      <c r="D19" s="12">
        <f t="shared" ref="D19:E19" si="3">D18*D10/100*D11</f>
        <v>3.2784681599999992</v>
      </c>
      <c r="E19" s="12">
        <f t="shared" si="3"/>
        <v>3.3127617599999999</v>
      </c>
      <c r="F19" s="1">
        <f t="shared" si="0"/>
        <v>3.3024340799999994</v>
      </c>
      <c r="G19" s="2">
        <f t="shared" si="1"/>
        <v>1.7000273389237121E-2</v>
      </c>
    </row>
    <row r="20" spans="1:7" x14ac:dyDescent="0.25">
      <c r="A20" s="164"/>
      <c r="B20" s="23" t="s">
        <v>56</v>
      </c>
      <c r="C20" s="12">
        <f>C19/C16</f>
        <v>1.9285500132599456</v>
      </c>
      <c r="D20" s="12">
        <f t="shared" ref="D20:E20" si="4">D19/D16</f>
        <v>1.9066803143305118</v>
      </c>
      <c r="E20" s="12">
        <f t="shared" si="4"/>
        <v>1.9266246690829234</v>
      </c>
      <c r="F20" s="1">
        <f t="shared" si="0"/>
        <v>1.9206183322244603</v>
      </c>
      <c r="G20" s="2">
        <f t="shared" si="1"/>
        <v>9.8869609304045591E-3</v>
      </c>
    </row>
    <row r="21" spans="1:7" x14ac:dyDescent="0.25">
      <c r="A21" s="164"/>
      <c r="B21" s="22" t="s">
        <v>57</v>
      </c>
      <c r="C21" s="13">
        <f>C13-C15</f>
        <v>46</v>
      </c>
      <c r="D21" s="13">
        <f t="shared" ref="D21:E21" si="5">D13-D15</f>
        <v>46</v>
      </c>
      <c r="E21" s="13">
        <f t="shared" si="5"/>
        <v>47</v>
      </c>
      <c r="F21" s="1">
        <f t="shared" si="0"/>
        <v>46.333333333333336</v>
      </c>
      <c r="G21" s="2">
        <f t="shared" si="1"/>
        <v>0.47140452079103168</v>
      </c>
    </row>
    <row r="22" spans="1:7" x14ac:dyDescent="0.25">
      <c r="A22" s="164"/>
      <c r="B22" s="22" t="s">
        <v>58</v>
      </c>
      <c r="C22" s="13">
        <f>C18/(C16/10^4)</f>
        <v>121.75189477651173</v>
      </c>
      <c r="D22" s="13">
        <f t="shared" ref="D22:E22" si="6">D18/(D16/10^4)</f>
        <v>120.3712319653101</v>
      </c>
      <c r="E22" s="13">
        <f t="shared" si="6"/>
        <v>121.63034527038658</v>
      </c>
      <c r="F22" s="1">
        <f t="shared" si="0"/>
        <v>121.2511573374028</v>
      </c>
      <c r="G22" s="2">
        <f t="shared" si="1"/>
        <v>0.62417682641442795</v>
      </c>
    </row>
    <row r="23" spans="1:7" x14ac:dyDescent="0.25">
      <c r="A23" s="164"/>
      <c r="B23" s="22" t="s">
        <v>59</v>
      </c>
      <c r="C23" s="13">
        <f>C18/C16/(C21/10^4)</f>
        <v>2.6467803212285155</v>
      </c>
      <c r="D23" s="13">
        <f t="shared" ref="D23:E23" si="7">D18/D16/(D21/10^4)</f>
        <v>2.6167659122893503</v>
      </c>
      <c r="E23" s="13">
        <f t="shared" si="7"/>
        <v>2.5878796866039697</v>
      </c>
      <c r="F23" s="1">
        <f t="shared" si="0"/>
        <v>2.6171419733739452</v>
      </c>
      <c r="G23" s="2">
        <f t="shared" si="1"/>
        <v>2.4047553669733497E-2</v>
      </c>
    </row>
    <row r="24" spans="1:7" x14ac:dyDescent="0.25">
      <c r="A24" s="164"/>
      <c r="B24" s="22" t="s">
        <v>60</v>
      </c>
      <c r="C24" s="13">
        <f>(1-C23/C17)*100</f>
        <v>40.62852576876368</v>
      </c>
      <c r="D24" s="13">
        <f t="shared" ref="D24:E24" si="8">(1-D23/D17)*100</f>
        <v>41.301796494182362</v>
      </c>
      <c r="E24" s="13">
        <f t="shared" si="8"/>
        <v>41.949760282548908</v>
      </c>
      <c r="F24" s="1">
        <f t="shared" si="0"/>
        <v>41.293360848498317</v>
      </c>
      <c r="G24" s="2">
        <f t="shared" si="1"/>
        <v>0.53942471219680077</v>
      </c>
    </row>
    <row r="25" spans="1:7" x14ac:dyDescent="0.25">
      <c r="A25" s="164"/>
      <c r="B25" s="24" t="s">
        <v>61</v>
      </c>
      <c r="C25" s="14">
        <f>(C18*C10)/100</f>
        <v>2.0097407999999994E-2</v>
      </c>
      <c r="D25" s="14">
        <f t="shared" ref="D25:E25" si="9">(D18*D10)/100</f>
        <v>1.9869503999999996E-2</v>
      </c>
      <c r="E25" s="14">
        <f t="shared" si="9"/>
        <v>2.0077344E-2</v>
      </c>
      <c r="F25" s="1">
        <f t="shared" si="0"/>
        <v>2.0014751999999997E-2</v>
      </c>
      <c r="G25" s="2">
        <f t="shared" si="1"/>
        <v>1.0303195993476996E-4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65</v>
      </c>
      <c r="D28" t="s">
        <v>65</v>
      </c>
      <c r="E28" t="s">
        <v>65</v>
      </c>
    </row>
    <row r="29" spans="1:7" x14ac:dyDescent="0.25">
      <c r="A29" s="164"/>
      <c r="B29" s="18" t="s">
        <v>67</v>
      </c>
      <c r="C29" s="1" t="s">
        <v>170</v>
      </c>
      <c r="D29" t="s">
        <v>123</v>
      </c>
      <c r="E29" t="s">
        <v>124</v>
      </c>
    </row>
    <row r="30" spans="1:7" x14ac:dyDescent="0.25">
      <c r="A30" s="164"/>
      <c r="B30" s="25" t="s">
        <v>71</v>
      </c>
      <c r="C30" s="1">
        <v>3.258</v>
      </c>
      <c r="D30">
        <v>1.845</v>
      </c>
      <c r="E30">
        <v>1.8959999999999999</v>
      </c>
    </row>
    <row r="31" spans="1:7" x14ac:dyDescent="0.25">
      <c r="A31" s="46"/>
    </row>
    <row r="32" spans="1:7" ht="15.75" thickBot="1" x14ac:dyDescent="0.3"/>
    <row r="33" spans="1:7" ht="15.75" thickTop="1" x14ac:dyDescent="0.25">
      <c r="A33" s="165" t="s">
        <v>72</v>
      </c>
      <c r="B33" s="28" t="s">
        <v>73</v>
      </c>
      <c r="C33" s="47">
        <v>3.6701492273252381</v>
      </c>
      <c r="D33" s="48">
        <v>3.6668504597432561</v>
      </c>
      <c r="E33" s="125">
        <v>3.8968080440891302</v>
      </c>
      <c r="F33" s="1">
        <f t="shared" ref="F33:F78" si="10">AVERAGE(C33:E33)</f>
        <v>3.7446025770525413</v>
      </c>
      <c r="G33" s="2">
        <f t="shared" ref="G33:G78" si="11">_xlfn.STDEV.P(C33:E33)</f>
        <v>0.1076339432637603</v>
      </c>
    </row>
    <row r="34" spans="1:7" x14ac:dyDescent="0.25">
      <c r="A34" s="166"/>
      <c r="B34" s="29" t="s">
        <v>74</v>
      </c>
      <c r="C34" s="49">
        <v>3.3365156820363131</v>
      </c>
      <c r="D34" s="50">
        <v>3.289009722255543</v>
      </c>
      <c r="E34" s="126">
        <v>3.9924459991873968</v>
      </c>
      <c r="F34" s="1">
        <f t="shared" si="10"/>
        <v>3.539323801159751</v>
      </c>
      <c r="G34" s="2">
        <f t="shared" si="11"/>
        <v>0.320992210510605</v>
      </c>
    </row>
    <row r="35" spans="1:7" x14ac:dyDescent="0.25">
      <c r="A35" s="166"/>
      <c r="B35" s="29" t="s">
        <v>75</v>
      </c>
      <c r="C35" s="49">
        <v>3.1833556142815018</v>
      </c>
      <c r="D35" s="50">
        <v>3.1370736206809302</v>
      </c>
      <c r="E35" s="126">
        <v>3.7423646624551061</v>
      </c>
      <c r="F35" s="1">
        <f t="shared" si="10"/>
        <v>3.3542646324725127</v>
      </c>
      <c r="G35" s="2">
        <f t="shared" si="11"/>
        <v>0.27507784436080179</v>
      </c>
    </row>
    <row r="36" spans="1:7" x14ac:dyDescent="0.25">
      <c r="A36" s="166"/>
      <c r="B36" s="29" t="s">
        <v>76</v>
      </c>
      <c r="C36" s="49">
        <v>3.1938780084247269</v>
      </c>
      <c r="D36" s="50">
        <v>3.1486981555167661</v>
      </c>
      <c r="E36" s="126">
        <v>3.5960196383960872</v>
      </c>
      <c r="F36" s="1">
        <f t="shared" si="10"/>
        <v>3.3128652674458601</v>
      </c>
      <c r="G36" s="2">
        <f t="shared" si="11"/>
        <v>0.20106815282114396</v>
      </c>
    </row>
    <row r="37" spans="1:7" x14ac:dyDescent="0.25">
      <c r="A37" s="166"/>
      <c r="B37" s="29" t="s">
        <v>77</v>
      </c>
      <c r="C37" s="49">
        <v>3.20222422085426</v>
      </c>
      <c r="D37" s="50">
        <v>3.1577435091030801</v>
      </c>
      <c r="E37" s="126">
        <v>3.193486374351175</v>
      </c>
      <c r="F37" s="1">
        <f t="shared" si="10"/>
        <v>3.1844847014361712</v>
      </c>
      <c r="G37" s="2">
        <f t="shared" si="11"/>
        <v>1.9242418696279937E-2</v>
      </c>
    </row>
    <row r="38" spans="1:7" x14ac:dyDescent="0.25">
      <c r="A38" s="166"/>
      <c r="B38" s="29" t="s">
        <v>78</v>
      </c>
      <c r="C38" s="49">
        <v>3.2095032258903542</v>
      </c>
      <c r="D38" s="50">
        <v>3.165559820162827</v>
      </c>
      <c r="E38" s="126">
        <v>3.2020404410216119</v>
      </c>
      <c r="F38" s="1">
        <f t="shared" si="10"/>
        <v>3.1923678290249313</v>
      </c>
      <c r="G38" s="2">
        <f t="shared" si="11"/>
        <v>1.9199397453431855E-2</v>
      </c>
    </row>
    <row r="39" spans="1:7" x14ac:dyDescent="0.25">
      <c r="A39" s="166"/>
      <c r="B39" s="29" t="s">
        <v>79</v>
      </c>
      <c r="C39" s="49">
        <v>3.233633196885874</v>
      </c>
      <c r="D39" s="50">
        <v>3.191048265584183</v>
      </c>
      <c r="E39" s="126">
        <v>3.2256706971423061</v>
      </c>
      <c r="F39" s="1">
        <f t="shared" si="10"/>
        <v>3.2167840532041208</v>
      </c>
      <c r="G39" s="2">
        <f t="shared" si="11"/>
        <v>1.8486002341510509E-2</v>
      </c>
    </row>
    <row r="40" spans="1:7" x14ac:dyDescent="0.25">
      <c r="A40" s="166"/>
      <c r="B40" s="29" t="s">
        <v>80</v>
      </c>
      <c r="C40" s="49">
        <v>3.221796822694587</v>
      </c>
      <c r="D40" s="50">
        <v>3.1787721291036242</v>
      </c>
      <c r="E40" s="126">
        <v>3.250048334963505</v>
      </c>
      <c r="F40" s="1">
        <f t="shared" si="10"/>
        <v>3.2168724289205723</v>
      </c>
      <c r="G40" s="2">
        <f t="shared" si="11"/>
        <v>2.9305990524989882E-2</v>
      </c>
    </row>
    <row r="41" spans="1:7" x14ac:dyDescent="0.25">
      <c r="A41" s="166"/>
      <c r="B41" s="29" t="s">
        <v>80</v>
      </c>
      <c r="C41" s="49">
        <v>3.0888403189853419</v>
      </c>
      <c r="D41" s="50">
        <v>3.0447325415001258</v>
      </c>
      <c r="E41" s="126">
        <v>3.0831197923239979</v>
      </c>
      <c r="F41" s="1">
        <f t="shared" si="10"/>
        <v>3.0722308842698216</v>
      </c>
      <c r="G41" s="2">
        <f t="shared" si="11"/>
        <v>1.9584011295451512E-2</v>
      </c>
    </row>
    <row r="42" spans="1:7" x14ac:dyDescent="0.25">
      <c r="A42" s="166"/>
      <c r="B42" s="29" t="s">
        <v>80</v>
      </c>
      <c r="C42" s="49">
        <v>2.9683032827119611</v>
      </c>
      <c r="D42" s="50">
        <v>2.921222289911769</v>
      </c>
      <c r="E42" s="126">
        <v>2.9643766722942639</v>
      </c>
      <c r="F42" s="1">
        <f t="shared" si="10"/>
        <v>2.9513007483059983</v>
      </c>
      <c r="G42" s="2">
        <f t="shared" si="11"/>
        <v>2.1329007038508464E-2</v>
      </c>
    </row>
    <row r="43" spans="1:7" x14ac:dyDescent="0.25">
      <c r="A43" s="166"/>
      <c r="B43" s="29" t="s">
        <v>80</v>
      </c>
      <c r="C43" s="49">
        <v>2.6385555686691489</v>
      </c>
      <c r="D43" s="50">
        <v>2.604892717784197</v>
      </c>
      <c r="E43" s="126">
        <v>2.6754915433023538</v>
      </c>
      <c r="F43" s="1">
        <f t="shared" si="10"/>
        <v>2.6396466099185663</v>
      </c>
      <c r="G43" s="2">
        <f t="shared" si="11"/>
        <v>2.8832173225891686E-2</v>
      </c>
    </row>
    <row r="44" spans="1:7" ht="15.75" thickBot="1" x14ac:dyDescent="0.3">
      <c r="A44" s="167"/>
      <c r="B44" s="30" t="s">
        <v>80</v>
      </c>
      <c r="C44" s="51">
        <v>2.261007641489861</v>
      </c>
      <c r="D44" s="52">
        <v>2.1569698027649848</v>
      </c>
      <c r="E44" s="127">
        <v>2.2818388886031218</v>
      </c>
      <c r="F44" s="1">
        <f t="shared" si="10"/>
        <v>2.2332721109526559</v>
      </c>
      <c r="G44" s="2">
        <f t="shared" si="11"/>
        <v>5.4620001770707784E-2</v>
      </c>
    </row>
    <row r="45" spans="1:7" ht="15.75" thickTop="1" x14ac:dyDescent="0.25">
      <c r="A45" s="165" t="s">
        <v>81</v>
      </c>
      <c r="B45" s="28" t="s">
        <v>73</v>
      </c>
      <c r="C45" s="47">
        <v>3.3261126060814479</v>
      </c>
      <c r="D45" s="48">
        <v>3.2758874490146019</v>
      </c>
      <c r="E45" s="125">
        <v>3.1515342659025709</v>
      </c>
      <c r="F45" s="1">
        <f t="shared" si="10"/>
        <v>3.2511781069995407</v>
      </c>
      <c r="G45" s="2">
        <f t="shared" si="11"/>
        <v>7.3381709356014554E-2</v>
      </c>
    </row>
    <row r="46" spans="1:7" x14ac:dyDescent="0.25">
      <c r="A46" s="166"/>
      <c r="B46" s="29" t="s">
        <v>74</v>
      </c>
      <c r="C46" s="49">
        <v>3.1762457219074158</v>
      </c>
      <c r="D46" s="50">
        <v>3.1285392603826572</v>
      </c>
      <c r="E46" s="126">
        <v>2.9655650209999389</v>
      </c>
      <c r="F46" s="1">
        <f t="shared" si="10"/>
        <v>3.0901166677633376</v>
      </c>
      <c r="G46" s="2">
        <f t="shared" si="11"/>
        <v>9.0199080377459495E-2</v>
      </c>
    </row>
    <row r="47" spans="1:7" x14ac:dyDescent="0.25">
      <c r="A47" s="166"/>
      <c r="B47" s="29" t="s">
        <v>75</v>
      </c>
      <c r="C47" s="49">
        <v>3.1865404505302179</v>
      </c>
      <c r="D47" s="50">
        <v>3.1405474131055322</v>
      </c>
      <c r="E47" s="126">
        <v>2.9476287535689618</v>
      </c>
      <c r="F47" s="1">
        <f t="shared" si="10"/>
        <v>3.091572205734904</v>
      </c>
      <c r="G47" s="2">
        <f t="shared" si="11"/>
        <v>0.10350081461506731</v>
      </c>
    </row>
    <row r="48" spans="1:7" x14ac:dyDescent="0.25">
      <c r="A48" s="166"/>
      <c r="B48" s="29" t="s">
        <v>76</v>
      </c>
      <c r="C48" s="49">
        <v>3.1952984235837389</v>
      </c>
      <c r="D48" s="50">
        <v>3.150361348248095</v>
      </c>
      <c r="E48" s="126">
        <v>3.027040397432943</v>
      </c>
      <c r="F48" s="1">
        <f t="shared" si="10"/>
        <v>3.1242333897549255</v>
      </c>
      <c r="G48" s="2">
        <f t="shared" si="11"/>
        <v>7.1132240708444219E-2</v>
      </c>
    </row>
    <row r="49" spans="1:7" x14ac:dyDescent="0.25">
      <c r="A49" s="166"/>
      <c r="B49" s="29" t="s">
        <v>77</v>
      </c>
      <c r="C49" s="49">
        <v>3.2027739682478051</v>
      </c>
      <c r="D49" s="50">
        <v>3.1583797574119079</v>
      </c>
      <c r="E49" s="126">
        <v>3.1937489669930592</v>
      </c>
      <c r="F49" s="1">
        <f t="shared" si="10"/>
        <v>3.1849675642175908</v>
      </c>
      <c r="G49" s="2">
        <f t="shared" si="11"/>
        <v>1.9158049047580977E-2</v>
      </c>
    </row>
    <row r="50" spans="1:7" x14ac:dyDescent="0.25">
      <c r="A50" s="166"/>
      <c r="B50" s="29" t="s">
        <v>78</v>
      </c>
      <c r="C50" s="49">
        <v>3.2091026243534042</v>
      </c>
      <c r="D50" s="50">
        <v>3.1650205907838851</v>
      </c>
      <c r="E50" s="126">
        <v>3.2009673415152871</v>
      </c>
      <c r="F50" s="1">
        <f t="shared" si="10"/>
        <v>3.1916968522175253</v>
      </c>
      <c r="G50" s="2">
        <f t="shared" si="11"/>
        <v>1.9153118105954912E-2</v>
      </c>
    </row>
    <row r="51" spans="1:7" x14ac:dyDescent="0.25">
      <c r="A51" s="166"/>
      <c r="B51" s="29" t="s">
        <v>79</v>
      </c>
      <c r="C51" s="49">
        <v>3.231541894271571</v>
      </c>
      <c r="D51" s="50">
        <v>3.1887669798692069</v>
      </c>
      <c r="E51" s="126">
        <v>3.223025634456973</v>
      </c>
      <c r="F51" s="1">
        <f t="shared" si="10"/>
        <v>3.2144448361992501</v>
      </c>
      <c r="G51" s="2">
        <f t="shared" si="11"/>
        <v>1.8486858388004478E-2</v>
      </c>
    </row>
    <row r="52" spans="1:7" x14ac:dyDescent="0.25">
      <c r="A52" s="166"/>
      <c r="B52" s="29" t="s">
        <v>82</v>
      </c>
      <c r="C52" s="49">
        <v>3.0845704151684719</v>
      </c>
      <c r="D52" s="50">
        <v>3.0368690006966732</v>
      </c>
      <c r="E52" s="126">
        <v>3.0701924616169252</v>
      </c>
      <c r="F52" s="1">
        <f t="shared" si="10"/>
        <v>3.0638772924940234</v>
      </c>
      <c r="G52" s="2">
        <f t="shared" si="11"/>
        <v>1.9979443709985511E-2</v>
      </c>
    </row>
    <row r="53" spans="1:7" x14ac:dyDescent="0.25">
      <c r="A53" s="166"/>
      <c r="B53" s="29" t="s">
        <v>83</v>
      </c>
      <c r="C53" s="49">
        <v>2.9642899796987878</v>
      </c>
      <c r="D53" s="50">
        <v>2.914737806958092</v>
      </c>
      <c r="E53" s="126">
        <v>2.9581245331211852</v>
      </c>
      <c r="F53" s="1">
        <f t="shared" si="10"/>
        <v>2.9457174399260215</v>
      </c>
      <c r="G53" s="2">
        <f t="shared" si="11"/>
        <v>2.205004046853494E-2</v>
      </c>
    </row>
    <row r="54" spans="1:7" x14ac:dyDescent="0.25">
      <c r="A54" s="166"/>
      <c r="B54" s="29" t="s">
        <v>84</v>
      </c>
      <c r="C54" s="49">
        <v>2.8021388892253238</v>
      </c>
      <c r="D54" s="50">
        <v>2.738415006052386</v>
      </c>
      <c r="E54" s="126">
        <v>2.7975525173669409</v>
      </c>
      <c r="F54" s="1">
        <f t="shared" si="10"/>
        <v>2.7793688042148834</v>
      </c>
      <c r="G54" s="2">
        <f t="shared" si="11"/>
        <v>2.9019176299552737E-2</v>
      </c>
    </row>
    <row r="55" spans="1:7" x14ac:dyDescent="0.25">
      <c r="A55" s="166"/>
      <c r="B55" s="29" t="s">
        <v>85</v>
      </c>
      <c r="C55" s="49">
        <v>2.259019868681166</v>
      </c>
      <c r="D55" s="50">
        <v>2.1523677411524451</v>
      </c>
      <c r="E55" s="126">
        <v>2.2201155709075922</v>
      </c>
      <c r="F55" s="1">
        <f t="shared" si="10"/>
        <v>2.2105010602470676</v>
      </c>
      <c r="G55" s="2">
        <f t="shared" si="11"/>
        <v>4.4068115367248147E-2</v>
      </c>
    </row>
    <row r="56" spans="1:7" ht="15.75" thickBot="1" x14ac:dyDescent="0.3">
      <c r="A56" s="167"/>
      <c r="B56" s="30" t="s">
        <v>86</v>
      </c>
      <c r="C56" s="51">
        <v>0.59245938529968278</v>
      </c>
      <c r="D56" s="52">
        <v>0.63365342873467312</v>
      </c>
      <c r="E56" s="127">
        <v>0.61896340055889554</v>
      </c>
      <c r="F56" s="1">
        <f t="shared" si="10"/>
        <v>0.61502540486441715</v>
      </c>
      <c r="G56" s="2">
        <f t="shared" si="11"/>
        <v>1.7046371289285499E-2</v>
      </c>
    </row>
    <row r="57" spans="1:7" ht="15.75" thickTop="1" x14ac:dyDescent="0.25">
      <c r="A57" s="165" t="s">
        <v>87</v>
      </c>
      <c r="B57" s="31">
        <v>0.9</v>
      </c>
      <c r="C57" s="53">
        <v>67.602940141818038</v>
      </c>
      <c r="D57" s="54">
        <v>55.135515587005948</v>
      </c>
      <c r="E57" s="128">
        <v>57.408420061345851</v>
      </c>
      <c r="F57" s="1">
        <f t="shared" si="10"/>
        <v>60.048958596723281</v>
      </c>
      <c r="G57" s="2">
        <f t="shared" si="11"/>
        <v>5.4214697622872681</v>
      </c>
    </row>
    <row r="58" spans="1:7" x14ac:dyDescent="0.25">
      <c r="A58" s="166"/>
      <c r="B58" s="32">
        <v>0.8</v>
      </c>
      <c r="C58" s="49">
        <v>69.220588079851538</v>
      </c>
      <c r="D58" s="50">
        <v>56.444459049632144</v>
      </c>
      <c r="E58" s="126">
        <v>59.11475305781039</v>
      </c>
      <c r="F58" s="1">
        <f t="shared" si="10"/>
        <v>61.593266729098026</v>
      </c>
      <c r="G58" s="2">
        <f t="shared" si="11"/>
        <v>5.502401946015544</v>
      </c>
    </row>
    <row r="59" spans="1:7" x14ac:dyDescent="0.25">
      <c r="A59" s="166"/>
      <c r="B59" s="32">
        <v>0.7</v>
      </c>
      <c r="C59" s="55">
        <v>71.347958768054653</v>
      </c>
      <c r="D59" s="56">
        <v>58.054094815383564</v>
      </c>
      <c r="E59" s="129">
        <v>61.736546951738831</v>
      </c>
      <c r="F59" s="1">
        <f t="shared" si="10"/>
        <v>63.712866845059011</v>
      </c>
      <c r="G59" s="2">
        <f t="shared" si="11"/>
        <v>5.6042296490288939</v>
      </c>
    </row>
    <row r="60" spans="1:7" x14ac:dyDescent="0.25">
      <c r="A60" s="166"/>
      <c r="B60" s="32">
        <v>0.6</v>
      </c>
      <c r="C60" s="55">
        <v>74.660249587332672</v>
      </c>
      <c r="D60" s="56">
        <v>60.79277315920951</v>
      </c>
      <c r="E60" s="129">
        <v>66.054858889048305</v>
      </c>
      <c r="F60" s="1">
        <f t="shared" si="10"/>
        <v>67.169293878530155</v>
      </c>
      <c r="G60" s="2">
        <f t="shared" si="11"/>
        <v>5.7159542586503118</v>
      </c>
    </row>
    <row r="61" spans="1:7" x14ac:dyDescent="0.25">
      <c r="A61" s="166"/>
      <c r="B61" s="32">
        <v>0.5</v>
      </c>
      <c r="C61" s="55">
        <v>80.98085094293954</v>
      </c>
      <c r="D61" s="56">
        <v>65.610619068659474</v>
      </c>
      <c r="E61" s="129">
        <v>74.028516737843134</v>
      </c>
      <c r="F61" s="1">
        <f t="shared" si="10"/>
        <v>73.539995583147387</v>
      </c>
      <c r="G61" s="2">
        <f t="shared" si="11"/>
        <v>6.2843719737256523</v>
      </c>
    </row>
    <row r="62" spans="1:7" x14ac:dyDescent="0.25">
      <c r="A62" s="166"/>
      <c r="B62" s="32">
        <v>0.4</v>
      </c>
      <c r="C62" s="55">
        <v>92.246470199015661</v>
      </c>
      <c r="D62" s="56">
        <v>75.729132575144803</v>
      </c>
      <c r="E62" s="129">
        <v>91.066019039381274</v>
      </c>
      <c r="F62" s="1">
        <f t="shared" si="10"/>
        <v>86.347207271180579</v>
      </c>
      <c r="G62" s="2">
        <f t="shared" si="11"/>
        <v>7.5235629379976166</v>
      </c>
    </row>
    <row r="63" spans="1:7" x14ac:dyDescent="0.25">
      <c r="A63" s="166"/>
      <c r="B63" s="32">
        <v>0.3</v>
      </c>
      <c r="C63" s="55">
        <v>114.86698393939466</v>
      </c>
      <c r="D63" s="56">
        <v>111.11964115310522</v>
      </c>
      <c r="E63" s="129">
        <v>123.11955101076707</v>
      </c>
      <c r="F63" s="1">
        <f t="shared" si="10"/>
        <v>116.36872536775564</v>
      </c>
      <c r="G63" s="2">
        <f t="shared" si="11"/>
        <v>5.0127091568162534</v>
      </c>
    </row>
    <row r="64" spans="1:7" x14ac:dyDescent="0.25">
      <c r="A64" s="166"/>
      <c r="B64" s="32">
        <v>0.2</v>
      </c>
      <c r="C64" s="55">
        <v>153.50343311417595</v>
      </c>
      <c r="D64" s="56">
        <v>134.90074250949931</v>
      </c>
      <c r="E64" s="129">
        <v>134.72139700173702</v>
      </c>
      <c r="F64" s="1">
        <f t="shared" si="10"/>
        <v>141.04185754180409</v>
      </c>
      <c r="G64" s="2">
        <f t="shared" si="11"/>
        <v>8.8119687740496762</v>
      </c>
    </row>
    <row r="65" spans="1:7" x14ac:dyDescent="0.25">
      <c r="A65" s="166"/>
      <c r="B65" s="32">
        <v>0.1</v>
      </c>
      <c r="C65" s="55">
        <v>162.49283184338464</v>
      </c>
      <c r="D65" s="56">
        <v>141.01495088792115</v>
      </c>
      <c r="E65" s="129">
        <v>143.50683706558982</v>
      </c>
      <c r="F65" s="1">
        <f t="shared" si="10"/>
        <v>149.00487326563186</v>
      </c>
      <c r="G65" s="2">
        <f t="shared" si="11"/>
        <v>9.5915290448393371</v>
      </c>
    </row>
    <row r="66" spans="1:7" x14ac:dyDescent="0.25">
      <c r="A66" s="166"/>
      <c r="B66" s="32">
        <v>0.5</v>
      </c>
      <c r="C66" s="55">
        <v>72.1099240318337</v>
      </c>
      <c r="D66" s="56">
        <v>56.895625884567444</v>
      </c>
      <c r="E66" s="129">
        <v>59.013263765299818</v>
      </c>
      <c r="F66" s="1">
        <f t="shared" si="10"/>
        <v>62.672937893900325</v>
      </c>
      <c r="G66" s="2">
        <f t="shared" si="11"/>
        <v>6.7287258860370684</v>
      </c>
    </row>
    <row r="67" spans="1:7" ht="15.75" thickBot="1" x14ac:dyDescent="0.3">
      <c r="A67" s="167"/>
      <c r="B67" s="33">
        <v>0.2</v>
      </c>
      <c r="C67" s="57">
        <v>102.39510603439875</v>
      </c>
      <c r="D67" s="58">
        <v>91.374865309294336</v>
      </c>
      <c r="E67" s="130">
        <v>109.31566949788679</v>
      </c>
      <c r="F67" s="1">
        <f t="shared" si="10"/>
        <v>101.02854694719331</v>
      </c>
      <c r="G67" s="2">
        <f t="shared" si="11"/>
        <v>7.3877703689937011</v>
      </c>
    </row>
    <row r="68" spans="1:7" ht="15.75" thickTop="1" x14ac:dyDescent="0.25">
      <c r="A68" s="165" t="s">
        <v>88</v>
      </c>
      <c r="B68" s="31">
        <v>0.9</v>
      </c>
      <c r="C68" s="47">
        <v>69.609200755189448</v>
      </c>
      <c r="D68" s="59">
        <v>56.870525027351484</v>
      </c>
      <c r="E68" s="131">
        <v>59.239101572190151</v>
      </c>
      <c r="F68" s="1">
        <f t="shared" si="10"/>
        <v>61.906275784910356</v>
      </c>
      <c r="G68" s="2">
        <f t="shared" si="11"/>
        <v>5.5319573712205328</v>
      </c>
    </row>
    <row r="69" spans="1:7" x14ac:dyDescent="0.25">
      <c r="A69" s="166"/>
      <c r="B69" s="32">
        <v>0.8</v>
      </c>
      <c r="C69" s="55">
        <v>71.577178680585817</v>
      </c>
      <c r="D69" s="56">
        <v>58.24726530922775</v>
      </c>
      <c r="E69" s="129">
        <v>61.002402849500477</v>
      </c>
      <c r="F69" s="1">
        <f t="shared" si="10"/>
        <v>63.608948946438012</v>
      </c>
      <c r="G69" s="2">
        <f t="shared" si="11"/>
        <v>5.7455611584696626</v>
      </c>
    </row>
    <row r="70" spans="1:7" x14ac:dyDescent="0.25">
      <c r="A70" s="166"/>
      <c r="B70" s="32">
        <v>0.7</v>
      </c>
      <c r="C70" s="55">
        <v>74.222889567653425</v>
      </c>
      <c r="D70" s="56">
        <v>60.208184940118194</v>
      </c>
      <c r="E70" s="129">
        <v>63.987454403359592</v>
      </c>
      <c r="F70" s="1">
        <f t="shared" si="10"/>
        <v>66.13950963704373</v>
      </c>
      <c r="G70" s="2">
        <f t="shared" si="11"/>
        <v>5.9203880923401666</v>
      </c>
    </row>
    <row r="71" spans="1:7" x14ac:dyDescent="0.25">
      <c r="A71" s="166"/>
      <c r="B71" s="32">
        <v>0.6</v>
      </c>
      <c r="C71" s="55">
        <v>78.586950865329143</v>
      </c>
      <c r="D71" s="56">
        <v>63.296927265421274</v>
      </c>
      <c r="E71" s="129">
        <v>68.966299567267171</v>
      </c>
      <c r="F71" s="1">
        <f t="shared" si="10"/>
        <v>70.283392566005872</v>
      </c>
      <c r="G71" s="2">
        <f t="shared" si="11"/>
        <v>6.3112204787415322</v>
      </c>
    </row>
    <row r="72" spans="1:7" x14ac:dyDescent="0.25">
      <c r="A72" s="166"/>
      <c r="B72" s="32">
        <v>0.5</v>
      </c>
      <c r="C72" s="55">
        <v>85.905388941621851</v>
      </c>
      <c r="D72" s="56">
        <v>68.669506193251664</v>
      </c>
      <c r="E72" s="129">
        <v>77.913802113608654</v>
      </c>
      <c r="F72" s="1">
        <f t="shared" si="10"/>
        <v>77.496232416160723</v>
      </c>
      <c r="G72" s="2">
        <f t="shared" si="11"/>
        <v>7.0427119240654896</v>
      </c>
    </row>
    <row r="73" spans="1:7" x14ac:dyDescent="0.25">
      <c r="A73" s="166"/>
      <c r="B73" s="32">
        <v>0.4</v>
      </c>
      <c r="C73" s="55">
        <v>98.934408496267764</v>
      </c>
      <c r="D73" s="56">
        <v>79.287603391082726</v>
      </c>
      <c r="E73" s="129">
        <v>95.809274653909156</v>
      </c>
      <c r="F73" s="1">
        <f t="shared" si="10"/>
        <v>91.343762180419887</v>
      </c>
      <c r="G73" s="2">
        <f t="shared" si="11"/>
        <v>8.6199319002896786</v>
      </c>
    </row>
    <row r="74" spans="1:7" x14ac:dyDescent="0.25">
      <c r="A74" s="166"/>
      <c r="B74" s="32">
        <v>0.3</v>
      </c>
      <c r="C74" s="55">
        <v>124.96600704748731</v>
      </c>
      <c r="D74" s="56">
        <v>112.67911372011453</v>
      </c>
      <c r="E74" s="129">
        <v>124.14915873921925</v>
      </c>
      <c r="F74" s="1">
        <f t="shared" si="10"/>
        <v>120.59809316894037</v>
      </c>
      <c r="G74" s="2">
        <f t="shared" si="11"/>
        <v>5.6094852362092613</v>
      </c>
    </row>
    <row r="75" spans="1:7" x14ac:dyDescent="0.25">
      <c r="A75" s="166"/>
      <c r="B75" s="32">
        <v>0.2</v>
      </c>
      <c r="C75" s="55">
        <v>163.56780695345921</v>
      </c>
      <c r="D75" s="56">
        <v>136.9848742648735</v>
      </c>
      <c r="E75" s="129">
        <v>136.79304090762304</v>
      </c>
      <c r="F75" s="1">
        <f t="shared" si="10"/>
        <v>145.78190737531858</v>
      </c>
      <c r="G75" s="2">
        <f t="shared" si="11"/>
        <v>12.576774039527937</v>
      </c>
    </row>
    <row r="76" spans="1:7" x14ac:dyDescent="0.25">
      <c r="A76" s="166"/>
      <c r="B76" s="32">
        <v>0.1</v>
      </c>
      <c r="C76" s="55">
        <v>237.20116906566915</v>
      </c>
      <c r="D76" s="56">
        <v>208.58349503036087</v>
      </c>
      <c r="E76" s="129">
        <v>209.78068647449405</v>
      </c>
      <c r="F76" s="1">
        <f t="shared" si="10"/>
        <v>218.52178352350802</v>
      </c>
      <c r="G76" s="2">
        <f t="shared" si="11"/>
        <v>13.217359797201055</v>
      </c>
    </row>
    <row r="77" spans="1:7" x14ac:dyDescent="0.25">
      <c r="A77" s="166"/>
      <c r="B77" s="32">
        <v>0.5</v>
      </c>
      <c r="C77" s="55">
        <v>74.828403025660577</v>
      </c>
      <c r="D77" s="56">
        <v>58.684171318536436</v>
      </c>
      <c r="E77" s="129">
        <v>60.967328355006188</v>
      </c>
      <c r="F77" s="1">
        <f t="shared" si="10"/>
        <v>64.826634233067736</v>
      </c>
      <c r="G77" s="2">
        <f t="shared" si="11"/>
        <v>7.1334767469380598</v>
      </c>
    </row>
    <row r="78" spans="1:7" ht="15.75" thickBot="1" x14ac:dyDescent="0.3">
      <c r="A78" s="167"/>
      <c r="B78" s="33">
        <v>0.2</v>
      </c>
      <c r="C78" s="57">
        <v>117.36626295271306</v>
      </c>
      <c r="D78" s="58">
        <v>105.01623065142529</v>
      </c>
      <c r="E78" s="130">
        <v>124.37528412994435</v>
      </c>
      <c r="F78" s="1">
        <f t="shared" si="10"/>
        <v>115.5859259113609</v>
      </c>
      <c r="G78" s="2">
        <f t="shared" si="11"/>
        <v>8.0029343735760712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2.0097407999999994E-2</v>
      </c>
      <c r="D80">
        <f t="shared" ref="D80:E80" si="12">D25</f>
        <v>1.9869503999999996E-2</v>
      </c>
      <c r="E80">
        <f t="shared" si="12"/>
        <v>2.0077344E-2</v>
      </c>
      <c r="F80" s="1">
        <f t="shared" ref="F80:F104" si="13">AVERAGE(C80:E80)</f>
        <v>2.0014751999999997E-2</v>
      </c>
      <c r="G80" s="2">
        <f t="shared" ref="G80:G104" si="14">_xlfn.STDEV.P(C80:E80)</f>
        <v>1.0303195993476996E-4</v>
      </c>
    </row>
    <row r="81" spans="1:7" ht="15.75" thickTop="1" x14ac:dyDescent="0.25">
      <c r="A81" s="161" t="s">
        <v>90</v>
      </c>
      <c r="B81" s="38" t="s">
        <v>73</v>
      </c>
      <c r="C81">
        <f>C33/C80</f>
        <v>182.61803847168943</v>
      </c>
      <c r="D81">
        <f t="shared" ref="D81:E81" si="15">D33/D80</f>
        <v>184.54665298858274</v>
      </c>
      <c r="E81">
        <f t="shared" si="15"/>
        <v>194.08981806005465</v>
      </c>
      <c r="F81" s="1">
        <f t="shared" si="13"/>
        <v>187.08483650677559</v>
      </c>
      <c r="G81" s="2">
        <f t="shared" si="14"/>
        <v>5.0154570021104226</v>
      </c>
    </row>
    <row r="82" spans="1:7" x14ac:dyDescent="0.25">
      <c r="A82" s="162"/>
      <c r="B82" s="38" t="s">
        <v>74</v>
      </c>
      <c r="C82">
        <f>C34/C80</f>
        <v>166.01721386341532</v>
      </c>
      <c r="D82">
        <f t="shared" ref="D82:E82" si="16">D34/D80</f>
        <v>165.5305397787254</v>
      </c>
      <c r="E82">
        <f t="shared" si="16"/>
        <v>198.85329449888374</v>
      </c>
      <c r="F82" s="1">
        <f t="shared" si="13"/>
        <v>176.80034938034149</v>
      </c>
      <c r="G82" s="2">
        <f t="shared" si="14"/>
        <v>15.595052724443409</v>
      </c>
    </row>
    <row r="83" spans="1:7" x14ac:dyDescent="0.25">
      <c r="A83" s="162"/>
      <c r="B83" s="38" t="s">
        <v>75</v>
      </c>
      <c r="C83">
        <f>C35/C80</f>
        <v>158.39632724187629</v>
      </c>
      <c r="D83">
        <f t="shared" ref="D83:E83" si="17">D35/D80</f>
        <v>157.88384152321723</v>
      </c>
      <c r="E83">
        <f t="shared" si="17"/>
        <v>186.39739710865672</v>
      </c>
      <c r="F83" s="1">
        <f t="shared" si="13"/>
        <v>167.55918862458341</v>
      </c>
      <c r="G83" s="2">
        <f t="shared" si="14"/>
        <v>13.322267939306631</v>
      </c>
    </row>
    <row r="84" spans="1:7" x14ac:dyDescent="0.25">
      <c r="A84" s="162"/>
      <c r="B84" s="38" t="s">
        <v>76</v>
      </c>
      <c r="C84">
        <f>C36/C80</f>
        <v>158.91989695510625</v>
      </c>
      <c r="D84">
        <f t="shared" ref="D84:E84" si="18">D36/D80</f>
        <v>158.46888556034247</v>
      </c>
      <c r="E84">
        <f t="shared" si="18"/>
        <v>179.10833416990252</v>
      </c>
      <c r="F84" s="1">
        <f t="shared" si="13"/>
        <v>165.49903889511708</v>
      </c>
      <c r="G84" s="2">
        <f t="shared" si="14"/>
        <v>9.6249862762421508</v>
      </c>
    </row>
    <row r="85" spans="1:7" x14ac:dyDescent="0.25">
      <c r="A85" s="162"/>
      <c r="B85" s="38" t="s">
        <v>77</v>
      </c>
      <c r="C85">
        <f>C37/C80</f>
        <v>159.33518495789411</v>
      </c>
      <c r="D85">
        <f t="shared" ref="D85:E85" si="19">D37/D80</f>
        <v>158.92412357666709</v>
      </c>
      <c r="E85">
        <f t="shared" si="19"/>
        <v>159.0592049601369</v>
      </c>
      <c r="F85" s="1">
        <f t="shared" si="13"/>
        <v>159.10617116489937</v>
      </c>
      <c r="G85" s="2">
        <f t="shared" si="14"/>
        <v>0.17106964093883095</v>
      </c>
    </row>
    <row r="86" spans="1:7" x14ac:dyDescent="0.25">
      <c r="A86" s="162"/>
      <c r="B86" s="38" t="s">
        <v>78</v>
      </c>
      <c r="C86">
        <f>C38/C80</f>
        <v>159.69737121773889</v>
      </c>
      <c r="D86">
        <f t="shared" ref="D86:E86" si="20">D38/D80</f>
        <v>159.31750587044485</v>
      </c>
      <c r="E86">
        <f t="shared" si="20"/>
        <v>159.4852606510907</v>
      </c>
      <c r="F86" s="1">
        <f t="shared" si="13"/>
        <v>159.5000459130915</v>
      </c>
      <c r="G86" s="2">
        <f t="shared" si="14"/>
        <v>0.15543138571521897</v>
      </c>
    </row>
    <row r="87" spans="1:7" x14ac:dyDescent="0.25">
      <c r="A87" s="162"/>
      <c r="B87" s="38" t="s">
        <v>79</v>
      </c>
      <c r="C87">
        <f>C39/C80</f>
        <v>160.8980221173733</v>
      </c>
      <c r="D87">
        <f t="shared" ref="D87:E87" si="21">D39/D80</f>
        <v>160.60029810427997</v>
      </c>
      <c r="E87">
        <f t="shared" si="21"/>
        <v>160.66222191253516</v>
      </c>
      <c r="F87" s="1">
        <f t="shared" si="13"/>
        <v>160.72018071139613</v>
      </c>
      <c r="G87" s="2">
        <f t="shared" si="14"/>
        <v>0.12826876410401031</v>
      </c>
    </row>
    <row r="88" spans="1:7" x14ac:dyDescent="0.25">
      <c r="A88" s="162"/>
      <c r="B88" s="38" t="s">
        <v>80</v>
      </c>
      <c r="C88">
        <f>C40/C80</f>
        <v>160.30907183128232</v>
      </c>
      <c r="D88">
        <f t="shared" ref="D88:E88" si="22">D40/D80</f>
        <v>159.98246001025615</v>
      </c>
      <c r="E88">
        <f t="shared" si="22"/>
        <v>161.87640830198978</v>
      </c>
      <c r="F88" s="1">
        <f t="shared" si="13"/>
        <v>160.72264671450941</v>
      </c>
      <c r="G88" s="2">
        <f t="shared" si="14"/>
        <v>0.82665719254009939</v>
      </c>
    </row>
    <row r="89" spans="1:7" x14ac:dyDescent="0.25">
      <c r="A89" s="162"/>
      <c r="B89" s="38" t="s">
        <v>80</v>
      </c>
      <c r="C89">
        <f>C41/C80</f>
        <v>153.69346728619647</v>
      </c>
      <c r="D89">
        <f t="shared" ref="D89:E89" si="23">D41/D80</f>
        <v>153.23646435764709</v>
      </c>
      <c r="E89">
        <f t="shared" si="23"/>
        <v>153.56213413108816</v>
      </c>
      <c r="F89" s="1">
        <f t="shared" si="13"/>
        <v>153.49735525831059</v>
      </c>
      <c r="G89" s="2">
        <f t="shared" si="14"/>
        <v>0.19211133220856855</v>
      </c>
    </row>
    <row r="90" spans="1:7" x14ac:dyDescent="0.25">
      <c r="A90" s="162"/>
      <c r="B90" s="38" t="s">
        <v>80</v>
      </c>
      <c r="C90">
        <f>C42/C80</f>
        <v>147.69582638278339</v>
      </c>
      <c r="D90">
        <f t="shared" ref="D90:E90" si="24">D42/D80</f>
        <v>147.02039315685835</v>
      </c>
      <c r="E90">
        <f t="shared" si="24"/>
        <v>147.64784984977416</v>
      </c>
      <c r="F90" s="1">
        <f t="shared" si="13"/>
        <v>147.45468979647197</v>
      </c>
      <c r="G90" s="2">
        <f t="shared" si="14"/>
        <v>0.30771806935858104</v>
      </c>
    </row>
    <row r="91" spans="1:7" x14ac:dyDescent="0.25">
      <c r="A91" s="162"/>
      <c r="B91" s="38" t="s">
        <v>80</v>
      </c>
      <c r="C91">
        <f>C43/C80</f>
        <v>131.28835164560275</v>
      </c>
      <c r="D91">
        <f t="shared" ref="D91:E91" si="25">D43/D80</f>
        <v>131.10003741332434</v>
      </c>
      <c r="E91">
        <f t="shared" si="25"/>
        <v>133.25923704362259</v>
      </c>
      <c r="F91" s="1">
        <f t="shared" si="13"/>
        <v>131.88254203418322</v>
      </c>
      <c r="G91" s="2">
        <f t="shared" si="14"/>
        <v>0.97650138224209693</v>
      </c>
    </row>
    <row r="92" spans="1:7" ht="15.75" thickBot="1" x14ac:dyDescent="0.3">
      <c r="A92" s="163"/>
      <c r="B92" s="39" t="s">
        <v>80</v>
      </c>
      <c r="C92">
        <f>C44/C80</f>
        <v>112.50245014132477</v>
      </c>
      <c r="D92">
        <f t="shared" ref="D92:E92" si="26">D44/D80</f>
        <v>108.5568015570487</v>
      </c>
      <c r="E92">
        <f t="shared" si="26"/>
        <v>113.65242776151675</v>
      </c>
      <c r="F92" s="1">
        <f t="shared" si="13"/>
        <v>111.57055981996341</v>
      </c>
      <c r="G92" s="2">
        <f t="shared" si="14"/>
        <v>2.1821497477183058</v>
      </c>
    </row>
    <row r="93" spans="1:7" ht="15.75" thickTop="1" x14ac:dyDescent="0.25">
      <c r="A93" s="161" t="s">
        <v>91</v>
      </c>
      <c r="B93" s="40" t="s">
        <v>73</v>
      </c>
      <c r="C93">
        <f>C45/C80</f>
        <v>165.49958114406837</v>
      </c>
      <c r="D93">
        <f t="shared" ref="D93:E93" si="27">D45/D80</f>
        <v>164.87011699006692</v>
      </c>
      <c r="E93">
        <f t="shared" si="27"/>
        <v>156.96968014805995</v>
      </c>
      <c r="F93" s="1">
        <f t="shared" si="13"/>
        <v>162.44645942739842</v>
      </c>
      <c r="G93" s="2">
        <f t="shared" si="14"/>
        <v>3.8811845044381785</v>
      </c>
    </row>
    <row r="94" spans="1:7" x14ac:dyDescent="0.25">
      <c r="A94" s="162"/>
      <c r="B94" s="38" t="s">
        <v>74</v>
      </c>
      <c r="C94">
        <f>C46/C80</f>
        <v>158.0425556324187</v>
      </c>
      <c r="D94">
        <f t="shared" ref="D94:E94" si="28">D46/D80</f>
        <v>157.45432097261499</v>
      </c>
      <c r="E94">
        <f t="shared" si="28"/>
        <v>147.70703839113077</v>
      </c>
      <c r="F94" s="1">
        <f t="shared" si="13"/>
        <v>154.40130499872149</v>
      </c>
      <c r="G94" s="2">
        <f t="shared" si="14"/>
        <v>4.7396490069678308</v>
      </c>
    </row>
    <row r="95" spans="1:7" x14ac:dyDescent="0.25">
      <c r="A95" s="162"/>
      <c r="B95" s="38" t="s">
        <v>75</v>
      </c>
      <c r="C95">
        <f>C47/C80</f>
        <v>158.5547972420234</v>
      </c>
      <c r="D95">
        <f t="shared" ref="D95:E95" si="29">D47/D80</f>
        <v>158.05867187754325</v>
      </c>
      <c r="E95">
        <f t="shared" si="29"/>
        <v>146.81367981586419</v>
      </c>
      <c r="F95" s="1">
        <f t="shared" si="13"/>
        <v>154.47571631181026</v>
      </c>
      <c r="G95" s="2">
        <f t="shared" si="14"/>
        <v>5.4216625705422068</v>
      </c>
    </row>
    <row r="96" spans="1:7" x14ac:dyDescent="0.25">
      <c r="A96" s="162"/>
      <c r="B96" s="38" t="s">
        <v>76</v>
      </c>
      <c r="C96">
        <f>C48/C80</f>
        <v>158.990573490061</v>
      </c>
      <c r="D96">
        <f t="shared" ref="D96:E96" si="30">D48/D80</f>
        <v>158.55259136051387</v>
      </c>
      <c r="E96">
        <f t="shared" si="30"/>
        <v>150.76896612584528</v>
      </c>
      <c r="F96" s="1">
        <f t="shared" si="13"/>
        <v>156.10404365880672</v>
      </c>
      <c r="G96" s="2">
        <f t="shared" si="14"/>
        <v>3.7767045863188771</v>
      </c>
    </row>
    <row r="97" spans="1:7" x14ac:dyDescent="0.25">
      <c r="A97" s="162"/>
      <c r="B97" s="38" t="s">
        <v>77</v>
      </c>
      <c r="C97">
        <f>C49/C80</f>
        <v>159.36253910194819</v>
      </c>
      <c r="D97">
        <f t="shared" ref="D97:E97" si="31">D49/D80</f>
        <v>158.95614492500209</v>
      </c>
      <c r="E97">
        <f t="shared" si="31"/>
        <v>159.0722840129182</v>
      </c>
      <c r="F97" s="1">
        <f t="shared" si="13"/>
        <v>159.13032267995615</v>
      </c>
      <c r="G97" s="2">
        <f t="shared" si="14"/>
        <v>0.17091015557416994</v>
      </c>
    </row>
    <row r="98" spans="1:7" x14ac:dyDescent="0.25">
      <c r="A98" s="162"/>
      <c r="B98" s="38" t="s">
        <v>78</v>
      </c>
      <c r="C98">
        <f>C50/C80</f>
        <v>159.67743822255116</v>
      </c>
      <c r="D98">
        <f t="shared" ref="D98:E98" si="32">D50/D80</f>
        <v>159.2903673279356</v>
      </c>
      <c r="E98">
        <f t="shared" si="32"/>
        <v>159.43181237096337</v>
      </c>
      <c r="F98" s="1">
        <f t="shared" si="13"/>
        <v>159.46653930715004</v>
      </c>
      <c r="G98" s="2">
        <f t="shared" si="14"/>
        <v>0.15991756092292828</v>
      </c>
    </row>
    <row r="99" spans="1:7" x14ac:dyDescent="0.25">
      <c r="A99" s="162"/>
      <c r="B99" s="38" t="s">
        <v>79</v>
      </c>
      <c r="C99">
        <f>C51/C80</f>
        <v>160.79396379232446</v>
      </c>
      <c r="D99">
        <f t="shared" ref="D99:E99" si="33">D51/D80</f>
        <v>160.48548468392605</v>
      </c>
      <c r="E99">
        <f t="shared" si="33"/>
        <v>160.53047825733188</v>
      </c>
      <c r="F99" s="1">
        <f t="shared" si="13"/>
        <v>160.60330891119415</v>
      </c>
      <c r="G99" s="2">
        <f t="shared" si="14"/>
        <v>0.13605897786394577</v>
      </c>
    </row>
    <row r="100" spans="1:7" x14ac:dyDescent="0.25">
      <c r="A100" s="162"/>
      <c r="B100" s="38" t="s">
        <v>82</v>
      </c>
      <c r="C100">
        <f>C52/C80</f>
        <v>153.48100686260003</v>
      </c>
      <c r="D100">
        <f t="shared" ref="D100:E100" si="34">D52/D80</f>
        <v>152.84070506725652</v>
      </c>
      <c r="E100">
        <f t="shared" si="34"/>
        <v>152.91825759507458</v>
      </c>
      <c r="F100" s="1">
        <f t="shared" si="13"/>
        <v>153.07998984164371</v>
      </c>
      <c r="G100" s="2">
        <f t="shared" si="14"/>
        <v>0.28532389427368571</v>
      </c>
    </row>
    <row r="101" spans="1:7" x14ac:dyDescent="0.25">
      <c r="A101" s="162"/>
      <c r="B101" s="38" t="s">
        <v>83</v>
      </c>
      <c r="C101">
        <f>C53/C80</f>
        <v>147.49613381480779</v>
      </c>
      <c r="D101">
        <f t="shared" ref="D101:E101" si="35">D53/D80</f>
        <v>146.69403961760156</v>
      </c>
      <c r="E101">
        <f t="shared" si="35"/>
        <v>147.33644714764986</v>
      </c>
      <c r="F101" s="1">
        <f t="shared" si="13"/>
        <v>147.17554019335307</v>
      </c>
      <c r="G101" s="2">
        <f t="shared" si="14"/>
        <v>0.34665743056969955</v>
      </c>
    </row>
    <row r="102" spans="1:7" x14ac:dyDescent="0.25">
      <c r="A102" s="162"/>
      <c r="B102" s="38" t="s">
        <v>84</v>
      </c>
      <c r="C102">
        <f>C54/C80</f>
        <v>139.42787493916254</v>
      </c>
      <c r="D102">
        <f t="shared" ref="D102:E102" si="36">D54/D80</f>
        <v>137.8199982270512</v>
      </c>
      <c r="E102">
        <f t="shared" si="36"/>
        <v>139.33877495783011</v>
      </c>
      <c r="F102" s="1">
        <f t="shared" si="13"/>
        <v>138.86221604134792</v>
      </c>
      <c r="G102" s="2">
        <f t="shared" si="14"/>
        <v>0.73785643635081122</v>
      </c>
    </row>
    <row r="103" spans="1:7" x14ac:dyDescent="0.25">
      <c r="A103" s="162"/>
      <c r="B103" s="38" t="s">
        <v>85</v>
      </c>
      <c r="C103">
        <f>C55/C80</f>
        <v>112.40354321717341</v>
      </c>
      <c r="D103">
        <f t="shared" ref="D103:E103" si="37">D55/D80</f>
        <v>108.32518723932139</v>
      </c>
      <c r="E103">
        <f t="shared" si="37"/>
        <v>110.57815072091169</v>
      </c>
      <c r="F103" s="1">
        <f t="shared" si="13"/>
        <v>110.43562705913551</v>
      </c>
      <c r="G103" s="2">
        <f t="shared" si="14"/>
        <v>1.6680290996951828</v>
      </c>
    </row>
    <row r="104" spans="1:7" ht="15.75" thickBot="1" x14ac:dyDescent="0.3">
      <c r="A104" s="163"/>
      <c r="B104" s="39" t="s">
        <v>86</v>
      </c>
      <c r="C104">
        <f>C56/C80</f>
        <v>29.479392830144214</v>
      </c>
      <c r="D104">
        <f t="shared" ref="D104:E104" si="38">D56/D80</f>
        <v>31.890752216797825</v>
      </c>
      <c r="E104">
        <f t="shared" si="38"/>
        <v>30.828948319005519</v>
      </c>
      <c r="F104" s="1">
        <f t="shared" si="13"/>
        <v>30.733031121982521</v>
      </c>
      <c r="G104" s="2">
        <f t="shared" si="14"/>
        <v>0.98676697837405092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0.69905325154089537</v>
      </c>
      <c r="D106">
        <f t="shared" ref="D106:E106" si="39">D55/D51</f>
        <v>0.67498432928477214</v>
      </c>
      <c r="E106">
        <f t="shared" si="39"/>
        <v>0.68882963485384918</v>
      </c>
      <c r="F106" s="1">
        <f>AVERAGE(C106:E106)</f>
        <v>0.68762240522650553</v>
      </c>
      <c r="G106" s="2">
        <f>_xlfn.STDEV.P(C106:E106)</f>
        <v>9.8631065820284081E-3</v>
      </c>
    </row>
    <row r="107" spans="1:7" ht="15.75" thickBot="1" x14ac:dyDescent="0.3">
      <c r="A107" s="36"/>
      <c r="B107" s="39" t="s">
        <v>94</v>
      </c>
      <c r="C107">
        <f>(1-C45/C33)*100</f>
        <v>9.3739137003570843</v>
      </c>
      <c r="D107">
        <f t="shared" ref="D107:E107" si="40">(1-D45/D33)*100</f>
        <v>10.662093123809269</v>
      </c>
      <c r="E107">
        <f t="shared" si="40"/>
        <v>19.125237110845816</v>
      </c>
      <c r="F107" s="1">
        <f>AVERAGE(C107:E107)</f>
        <v>13.053747978337389</v>
      </c>
      <c r="G107" s="2">
        <f>_xlfn.STDEV.P(C107:E107)</f>
        <v>4.325281244911702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7.9095344000000012E-3</v>
      </c>
      <c r="D110">
        <f t="shared" ref="D110:E110" si="41">D16*D21/10^4</f>
        <v>7.9095344000000012E-3</v>
      </c>
      <c r="E110">
        <f t="shared" si="41"/>
        <v>8.0814808000000005E-3</v>
      </c>
      <c r="F110" s="1">
        <f t="shared" ref="F110:F134" si="42">AVERAGE(C110:E110)</f>
        <v>7.9668498666666671E-3</v>
      </c>
      <c r="G110" s="2">
        <f t="shared" ref="G110:G134" si="43">_xlfn.STDEV.P(C110:E110)</f>
        <v>8.1056310293742745E-5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464.01583730709075</v>
      </c>
      <c r="D111">
        <f t="shared" ref="D111:E111" si="44">D33/D110</f>
        <v>463.59877513691015</v>
      </c>
      <c r="E111">
        <f t="shared" si="44"/>
        <v>482.18985363290471</v>
      </c>
      <c r="F111" s="1">
        <f t="shared" si="42"/>
        <v>469.93482202563519</v>
      </c>
      <c r="G111" s="2">
        <f t="shared" si="43"/>
        <v>8.6672885027490949</v>
      </c>
    </row>
    <row r="112" spans="1:7" x14ac:dyDescent="0.25">
      <c r="A112" s="162"/>
      <c r="B112" s="38" t="s">
        <v>74</v>
      </c>
      <c r="C112">
        <f>C34/C110</f>
        <v>421.83465085331858</v>
      </c>
      <c r="D112">
        <f t="shared" ref="D112:E112" si="45">D34/D110</f>
        <v>415.82848697839188</v>
      </c>
      <c r="E112">
        <f t="shared" si="45"/>
        <v>494.02406539002067</v>
      </c>
      <c r="F112" s="1">
        <f t="shared" si="42"/>
        <v>443.89573440724371</v>
      </c>
      <c r="G112" s="2">
        <f t="shared" si="43"/>
        <v>35.530791120400025</v>
      </c>
    </row>
    <row r="113" spans="1:7" x14ac:dyDescent="0.25">
      <c r="A113" s="162"/>
      <c r="B113" s="38" t="s">
        <v>75</v>
      </c>
      <c r="C113">
        <f>C35/C110</f>
        <v>402.47067062272356</v>
      </c>
      <c r="D113">
        <f t="shared" ref="D113:E113" si="46">D35/D110</f>
        <v>396.61925241527865</v>
      </c>
      <c r="E113">
        <f t="shared" si="46"/>
        <v>463.07907610881239</v>
      </c>
      <c r="F113" s="1">
        <f t="shared" si="42"/>
        <v>420.72299971560489</v>
      </c>
      <c r="G113" s="2">
        <f t="shared" si="43"/>
        <v>30.045384330265307</v>
      </c>
    </row>
    <row r="114" spans="1:7" x14ac:dyDescent="0.25">
      <c r="A114" s="162"/>
      <c r="B114" s="38" t="s">
        <v>76</v>
      </c>
      <c r="C114">
        <f>C36/C110</f>
        <v>403.80101367594108</v>
      </c>
      <c r="D114">
        <f t="shared" ref="D114:E114" si="47">D36/D110</f>
        <v>398.08893877707465</v>
      </c>
      <c r="E114">
        <f t="shared" si="47"/>
        <v>444.97038691177573</v>
      </c>
      <c r="F114" s="1">
        <f t="shared" si="42"/>
        <v>415.62011312159711</v>
      </c>
      <c r="G114" s="2">
        <f t="shared" si="43"/>
        <v>20.884378190111349</v>
      </c>
    </row>
    <row r="115" spans="1:7" x14ac:dyDescent="0.25">
      <c r="A115" s="162"/>
      <c r="B115" s="38" t="s">
        <v>77</v>
      </c>
      <c r="C115">
        <f>C37/C110</f>
        <v>404.85622274482546</v>
      </c>
      <c r="D115">
        <f t="shared" ref="D115:E115" si="48">D37/D110</f>
        <v>399.23254004724726</v>
      </c>
      <c r="E115">
        <f t="shared" si="48"/>
        <v>395.16104206436705</v>
      </c>
      <c r="F115" s="1">
        <f t="shared" si="42"/>
        <v>399.74993495214659</v>
      </c>
      <c r="G115" s="2">
        <f t="shared" si="43"/>
        <v>3.9749134348976982</v>
      </c>
    </row>
    <row r="116" spans="1:7" x14ac:dyDescent="0.25">
      <c r="A116" s="162"/>
      <c r="B116" s="38" t="s">
        <v>78</v>
      </c>
      <c r="C116">
        <f>C38/C110</f>
        <v>405.7765051113949</v>
      </c>
      <c r="D116">
        <f t="shared" ref="D116:E116" si="49">D38/D110</f>
        <v>400.22075384902888</v>
      </c>
      <c r="E116">
        <f t="shared" si="49"/>
        <v>396.21951969762915</v>
      </c>
      <c r="F116" s="1">
        <f t="shared" si="42"/>
        <v>400.73892621935101</v>
      </c>
      <c r="G116" s="2">
        <f t="shared" si="43"/>
        <v>3.9187897369601847</v>
      </c>
    </row>
    <row r="117" spans="1:7" x14ac:dyDescent="0.25">
      <c r="A117" s="162"/>
      <c r="B117" s="38" t="s">
        <v>79</v>
      </c>
      <c r="C117">
        <f>C39/C110</f>
        <v>408.82724991825984</v>
      </c>
      <c r="D117">
        <f t="shared" ref="D117:E117" si="50">D39/D110</f>
        <v>403.44325015947618</v>
      </c>
      <c r="E117">
        <f t="shared" si="50"/>
        <v>399.14352047242454</v>
      </c>
      <c r="F117" s="1">
        <f t="shared" si="42"/>
        <v>403.80467351672019</v>
      </c>
      <c r="G117" s="2">
        <f t="shared" si="43"/>
        <v>3.9616178620529556</v>
      </c>
    </row>
    <row r="118" spans="1:7" x14ac:dyDescent="0.25">
      <c r="A118" s="162"/>
      <c r="B118" s="38" t="s">
        <v>80</v>
      </c>
      <c r="C118">
        <f>C40/C110</f>
        <v>407.33078077194864</v>
      </c>
      <c r="D118">
        <f t="shared" ref="D118:E118" si="51">D40/D110</f>
        <v>401.89118200227102</v>
      </c>
      <c r="E118">
        <f t="shared" si="51"/>
        <v>402.16000203372442</v>
      </c>
      <c r="F118" s="1">
        <f t="shared" si="42"/>
        <v>403.7939882693147</v>
      </c>
      <c r="G118" s="2">
        <f t="shared" si="43"/>
        <v>2.5032967539284945</v>
      </c>
    </row>
    <row r="119" spans="1:7" x14ac:dyDescent="0.25">
      <c r="A119" s="162"/>
      <c r="B119" s="38" t="s">
        <v>80</v>
      </c>
      <c r="C119">
        <f>C41/C110</f>
        <v>390.521130925904</v>
      </c>
      <c r="D119">
        <f t="shared" ref="D119:E119" si="52">D41/D110</f>
        <v>384.9445981927995</v>
      </c>
      <c r="E119">
        <f t="shared" si="52"/>
        <v>381.50431444742128</v>
      </c>
      <c r="F119" s="1">
        <f t="shared" si="42"/>
        <v>385.65668118870826</v>
      </c>
      <c r="G119" s="2">
        <f t="shared" si="43"/>
        <v>3.7153771900446566</v>
      </c>
    </row>
    <row r="120" spans="1:7" x14ac:dyDescent="0.25">
      <c r="A120" s="162"/>
      <c r="B120" s="38" t="s">
        <v>80</v>
      </c>
      <c r="C120">
        <f>C42/C110</f>
        <v>375.28167052563305</v>
      </c>
      <c r="D120">
        <f t="shared" ref="D120:E120" si="53">D42/D110</f>
        <v>369.32923509527546</v>
      </c>
      <c r="E120">
        <f t="shared" si="53"/>
        <v>366.81107654110417</v>
      </c>
      <c r="F120" s="1">
        <f t="shared" si="42"/>
        <v>370.47399405400421</v>
      </c>
      <c r="G120" s="2">
        <f t="shared" si="43"/>
        <v>3.5515813771592426</v>
      </c>
    </row>
    <row r="121" spans="1:7" x14ac:dyDescent="0.25">
      <c r="A121" s="162"/>
      <c r="B121" s="38" t="s">
        <v>80</v>
      </c>
      <c r="C121">
        <f>C43/C110</f>
        <v>333.59176852042623</v>
      </c>
      <c r="D121">
        <f t="shared" ref="D121:E121" si="54">D43/D110</f>
        <v>329.33578464292367</v>
      </c>
      <c r="E121">
        <f t="shared" si="54"/>
        <v>331.06451769363281</v>
      </c>
      <c r="F121" s="1">
        <f t="shared" si="42"/>
        <v>331.33069028566092</v>
      </c>
      <c r="G121" s="2">
        <f t="shared" si="43"/>
        <v>1.7476623583043043</v>
      </c>
    </row>
    <row r="122" spans="1:7" ht="15.75" thickBot="1" x14ac:dyDescent="0.3">
      <c r="A122" s="163"/>
      <c r="B122" s="39" t="s">
        <v>80</v>
      </c>
      <c r="C122">
        <f>C44/C110</f>
        <v>285.85850027908856</v>
      </c>
      <c r="D122">
        <f t="shared" ref="D122:E122" si="55">D44/D110</f>
        <v>272.70502834717865</v>
      </c>
      <c r="E122">
        <f t="shared" si="55"/>
        <v>282.35405677176414</v>
      </c>
      <c r="F122" s="1">
        <f t="shared" si="42"/>
        <v>280.3058617993438</v>
      </c>
      <c r="G122" s="2">
        <f t="shared" si="43"/>
        <v>5.5617612887568528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420.51939316193472</v>
      </c>
      <c r="D123">
        <f t="shared" ref="D123:E123" si="56">D45/D110</f>
        <v>414.16944201097368</v>
      </c>
      <c r="E123">
        <f t="shared" si="56"/>
        <v>389.96990080117132</v>
      </c>
      <c r="F123" s="1">
        <f t="shared" si="42"/>
        <v>408.21957865802659</v>
      </c>
      <c r="G123" s="2">
        <f t="shared" si="43"/>
        <v>13.16228263674004</v>
      </c>
    </row>
    <row r="124" spans="1:7" x14ac:dyDescent="0.25">
      <c r="A124" s="162"/>
      <c r="B124" s="38" t="s">
        <v>74</v>
      </c>
      <c r="C124">
        <f>C46/C110</f>
        <v>401.57176911796671</v>
      </c>
      <c r="D124">
        <f t="shared" ref="D124:E124" si="57">D46/D110</f>
        <v>395.54025586925275</v>
      </c>
      <c r="E124">
        <f t="shared" si="57"/>
        <v>366.95812245200642</v>
      </c>
      <c r="F124" s="1">
        <f t="shared" si="42"/>
        <v>388.02338247974194</v>
      </c>
      <c r="G124" s="2">
        <f t="shared" si="43"/>
        <v>15.097542251294579</v>
      </c>
    </row>
    <row r="125" spans="1:7" x14ac:dyDescent="0.25">
      <c r="A125" s="162"/>
      <c r="B125" s="38" t="s">
        <v>75</v>
      </c>
      <c r="C125">
        <f>C47/C110</f>
        <v>402.87332848950217</v>
      </c>
      <c r="D125">
        <f t="shared" ref="D125:E125" si="58">D47/D110</f>
        <v>397.05844292244706</v>
      </c>
      <c r="E125">
        <f t="shared" si="58"/>
        <v>364.738694122612</v>
      </c>
      <c r="F125" s="1">
        <f t="shared" si="42"/>
        <v>388.22348851152043</v>
      </c>
      <c r="G125" s="2">
        <f t="shared" si="43"/>
        <v>16.775078721255216</v>
      </c>
    </row>
    <row r="126" spans="1:7" x14ac:dyDescent="0.25">
      <c r="A126" s="162"/>
      <c r="B126" s="38" t="s">
        <v>76</v>
      </c>
      <c r="C126">
        <f>C48/C110</f>
        <v>403.9805963273563</v>
      </c>
      <c r="D126">
        <f t="shared" ref="D126:E126" si="59">D48/D110</f>
        <v>398.29921572224208</v>
      </c>
      <c r="E126">
        <f t="shared" si="59"/>
        <v>374.56506701506271</v>
      </c>
      <c r="F126" s="1">
        <f t="shared" si="42"/>
        <v>392.28162635488707</v>
      </c>
      <c r="G126" s="2">
        <f t="shared" si="43"/>
        <v>12.740404952386175</v>
      </c>
    </row>
    <row r="127" spans="1:7" x14ac:dyDescent="0.25">
      <c r="A127" s="162"/>
      <c r="B127" s="38" t="s">
        <v>77</v>
      </c>
      <c r="C127">
        <f>C49/C110</f>
        <v>404.92572713860437</v>
      </c>
      <c r="D127">
        <f t="shared" ref="D127:E127" si="60">D49/D110</f>
        <v>399.31298072512431</v>
      </c>
      <c r="E127">
        <f t="shared" si="60"/>
        <v>395.19353519877927</v>
      </c>
      <c r="F127" s="1">
        <f t="shared" si="42"/>
        <v>399.81074768750267</v>
      </c>
      <c r="G127" s="2">
        <f t="shared" si="43"/>
        <v>3.9887106479851928</v>
      </c>
    </row>
    <row r="128" spans="1:7" x14ac:dyDescent="0.25">
      <c r="A128" s="162"/>
      <c r="B128" s="38" t="s">
        <v>78</v>
      </c>
      <c r="C128">
        <f>C50/C110</f>
        <v>405.72585718236508</v>
      </c>
      <c r="D128">
        <f t="shared" ref="D128:E128" si="61">D50/D110</f>
        <v>400.15257924459934</v>
      </c>
      <c r="E128">
        <f t="shared" si="61"/>
        <v>396.08673468794069</v>
      </c>
      <c r="F128" s="1">
        <f t="shared" si="42"/>
        <v>400.65505703830172</v>
      </c>
      <c r="G128" s="2">
        <f t="shared" si="43"/>
        <v>3.9511629988736683</v>
      </c>
    </row>
    <row r="129" spans="1:7" x14ac:dyDescent="0.25">
      <c r="A129" s="162"/>
      <c r="B129" s="38" t="s">
        <v>79</v>
      </c>
      <c r="C129">
        <f>C51/C110</f>
        <v>408.56284717234058</v>
      </c>
      <c r="D129">
        <f t="shared" ref="D129:E129" si="62">D51/D110</f>
        <v>403.15482790860693</v>
      </c>
      <c r="E129">
        <f t="shared" si="62"/>
        <v>398.81622121245067</v>
      </c>
      <c r="F129" s="1">
        <f t="shared" si="42"/>
        <v>403.51129876446606</v>
      </c>
      <c r="G129" s="2">
        <f t="shared" si="43"/>
        <v>3.9870191876310876</v>
      </c>
    </row>
    <row r="130" spans="1:7" x14ac:dyDescent="0.25">
      <c r="A130" s="162"/>
      <c r="B130" s="38" t="s">
        <v>82</v>
      </c>
      <c r="C130">
        <f>C52/C110</f>
        <v>389.9812883004177</v>
      </c>
      <c r="D130">
        <f t="shared" ref="D130:E130" si="63">D52/D110</f>
        <v>383.95041314905626</v>
      </c>
      <c r="E130">
        <f t="shared" si="63"/>
        <v>379.90469043952004</v>
      </c>
      <c r="F130" s="1">
        <f t="shared" si="42"/>
        <v>384.6121306296647</v>
      </c>
      <c r="G130" s="2">
        <f t="shared" si="43"/>
        <v>4.1402784633137015</v>
      </c>
    </row>
    <row r="131" spans="1:7" x14ac:dyDescent="0.25">
      <c r="A131" s="162"/>
      <c r="B131" s="38" t="s">
        <v>83</v>
      </c>
      <c r="C131">
        <f>C53/C110</f>
        <v>374.77426986078819</v>
      </c>
      <c r="D131">
        <f t="shared" ref="D131:E131" si="64">D53/D110</f>
        <v>368.5094039110686</v>
      </c>
      <c r="E131">
        <f t="shared" si="64"/>
        <v>366.03743872301038</v>
      </c>
      <c r="F131" s="1">
        <f t="shared" si="42"/>
        <v>369.77370416495569</v>
      </c>
      <c r="G131" s="2">
        <f t="shared" si="43"/>
        <v>3.6771271332835611</v>
      </c>
    </row>
    <row r="132" spans="1:7" x14ac:dyDescent="0.25">
      <c r="A132" s="162"/>
      <c r="B132" s="38" t="s">
        <v>84</v>
      </c>
      <c r="C132">
        <f>C54/C110</f>
        <v>354.27355739489843</v>
      </c>
      <c r="D132">
        <f t="shared" ref="D132:E132" si="65">D54/D110</f>
        <v>346.21696645663309</v>
      </c>
      <c r="E132">
        <f t="shared" si="65"/>
        <v>346.16830585886447</v>
      </c>
      <c r="F132" s="1">
        <f t="shared" si="42"/>
        <v>348.886276570132</v>
      </c>
      <c r="G132" s="2">
        <f t="shared" si="43"/>
        <v>3.8094346017150533</v>
      </c>
    </row>
    <row r="133" spans="1:7" x14ac:dyDescent="0.25">
      <c r="A133" s="162"/>
      <c r="B133" s="38" t="s">
        <v>85</v>
      </c>
      <c r="C133">
        <f>C55/C110</f>
        <v>285.60718677463058</v>
      </c>
      <c r="D133">
        <f t="shared" ref="D133:E133" si="66">D55/D110</f>
        <v>272.12319111380879</v>
      </c>
      <c r="E133">
        <f t="shared" si="66"/>
        <v>274.7164320315643</v>
      </c>
      <c r="F133" s="1">
        <f t="shared" si="42"/>
        <v>277.48226997333455</v>
      </c>
      <c r="G133" s="2">
        <f t="shared" si="43"/>
        <v>5.8419134642322552</v>
      </c>
    </row>
    <row r="134" spans="1:7" ht="15.75" thickBot="1" x14ac:dyDescent="0.3">
      <c r="A134" s="163"/>
      <c r="B134" s="39" t="s">
        <v>86</v>
      </c>
      <c r="C134">
        <f>C56/C110</f>
        <v>74.904457751607055</v>
      </c>
      <c r="D134">
        <f t="shared" ref="D134:E134" si="67">D56/D110</f>
        <v>80.112607985455256</v>
      </c>
      <c r="E134">
        <f t="shared" si="67"/>
        <v>76.590344749553267</v>
      </c>
      <c r="F134" s="1">
        <f t="shared" si="42"/>
        <v>77.202470162205188</v>
      </c>
      <c r="G134" s="2">
        <f t="shared" si="43"/>
        <v>2.1698280047343208</v>
      </c>
    </row>
    <row r="135" spans="1:7" ht="15.75" thickTop="1" x14ac:dyDescent="0.25"/>
    <row r="137" spans="1:7" ht="14.45" customHeight="1" x14ac:dyDescent="0.25">
      <c r="A137" s="171" t="s">
        <v>98</v>
      </c>
      <c r="B137" s="67" t="s">
        <v>99</v>
      </c>
      <c r="C137" s="68" t="str">
        <f>C1</f>
        <v>DD004</v>
      </c>
      <c r="D137" s="68" t="str">
        <f>D1</f>
        <v>DD005</v>
      </c>
      <c r="E137" s="68" t="str">
        <f>E1</f>
        <v>DD006</v>
      </c>
    </row>
    <row r="138" spans="1:7" ht="14.45" customHeight="1" x14ac:dyDescent="0.25">
      <c r="A138" s="172"/>
      <c r="B138" s="69" t="s">
        <v>100</v>
      </c>
      <c r="C138" s="68">
        <f>C25</f>
        <v>2.0097407999999994E-2</v>
      </c>
      <c r="D138" s="68">
        <f t="shared" ref="D138:E138" si="68">D25</f>
        <v>1.9869503999999996E-2</v>
      </c>
      <c r="E138" s="68">
        <f t="shared" si="68"/>
        <v>2.0077344E-2</v>
      </c>
      <c r="F138" s="1">
        <f>AVERAGE(C138:E138)</f>
        <v>2.0014751999999997E-2</v>
      </c>
      <c r="G138" s="2">
        <f>_xlfn.STDEV.P(C138:E138)</f>
        <v>1.0303195993476996E-4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46</v>
      </c>
      <c r="D142" s="68">
        <f t="shared" ref="D142:E142" si="69">D21</f>
        <v>46</v>
      </c>
      <c r="E142" s="68">
        <f t="shared" si="69"/>
        <v>47</v>
      </c>
      <c r="F142" s="1">
        <f>AVERAGE(C142:E142)</f>
        <v>46.333333333333336</v>
      </c>
      <c r="G142" s="2">
        <f>_xlfn.STDEV.P(C142:E142)</f>
        <v>0.47140452079103168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 t="shared" ref="D143:E143" si="70">D16</f>
        <v>1.7194640000000001</v>
      </c>
      <c r="E143" s="68">
        <f t="shared" si="70"/>
        <v>1.7194640000000001</v>
      </c>
      <c r="F143" s="1">
        <f>AVERAGE(C143:E143)</f>
        <v>1.7194640000000001</v>
      </c>
      <c r="G143" s="2">
        <f>_xlfn.STDEV.P(C143:E143)</f>
        <v>0</v>
      </c>
    </row>
    <row r="144" spans="1:7" ht="14.45" customHeight="1" x14ac:dyDescent="0.25">
      <c r="A144" s="172"/>
      <c r="B144" s="69" t="s">
        <v>106</v>
      </c>
      <c r="C144" s="68">
        <f>C22</f>
        <v>121.75189477651173</v>
      </c>
      <c r="D144" s="68">
        <f t="shared" ref="D144:E144" si="71">D22</f>
        <v>120.3712319653101</v>
      </c>
      <c r="E144" s="68">
        <f t="shared" si="71"/>
        <v>121.63034527038658</v>
      </c>
      <c r="F144" s="1">
        <f>AVERAGE(C144:E144)</f>
        <v>121.2511573374028</v>
      </c>
      <c r="G144" s="2">
        <f>_xlfn.STDEV.P(C144:E144)</f>
        <v>0.62417682641442795</v>
      </c>
    </row>
    <row r="145" spans="1:7" ht="14.45" customHeight="1" x14ac:dyDescent="0.25">
      <c r="A145" s="172"/>
      <c r="B145" s="69" t="s">
        <v>107</v>
      </c>
      <c r="C145" s="68">
        <f>C24</f>
        <v>40.62852576876368</v>
      </c>
      <c r="D145" s="68">
        <f t="shared" ref="D145:E145" si="72">D24</f>
        <v>41.301796494182362</v>
      </c>
      <c r="E145" s="68">
        <f t="shared" si="72"/>
        <v>41.949760282548908</v>
      </c>
      <c r="F145" s="1">
        <f>AVERAGE(C145:E145)</f>
        <v>41.293360848498317</v>
      </c>
      <c r="G145" s="2">
        <f>_xlfn.STDEV.P(C145:E145)</f>
        <v>0.53942471219680077</v>
      </c>
    </row>
    <row r="146" spans="1:7" ht="14.45" customHeight="1" thickBot="1" x14ac:dyDescent="0.3">
      <c r="A146" s="173"/>
      <c r="B146" s="70" t="s">
        <v>108</v>
      </c>
      <c r="C146" s="68">
        <v>145</v>
      </c>
      <c r="D146" s="68">
        <v>145</v>
      </c>
      <c r="E146" s="68">
        <v>145</v>
      </c>
      <c r="F146" s="1">
        <f>AVERAGE(C146:E146)</f>
        <v>145</v>
      </c>
      <c r="G146" s="2">
        <f>_xlfn.STDEV.P(C146:E146)</f>
        <v>0</v>
      </c>
    </row>
    <row r="148" spans="1:7" x14ac:dyDescent="0.25">
      <c r="A148" s="168" t="s">
        <v>109</v>
      </c>
      <c r="B148" s="94" t="s">
        <v>110</v>
      </c>
      <c r="C148" s="93">
        <v>3.3437717904289501</v>
      </c>
      <c r="D148" s="93">
        <v>3.3006438574111598</v>
      </c>
      <c r="E148" s="93">
        <v>3.2518898662657998</v>
      </c>
      <c r="F148" s="1">
        <f>AVERAGE(C148:E148)</f>
        <v>3.2987685047019699</v>
      </c>
      <c r="G148" s="2">
        <f>_xlfn.STDEV.P(C148:E148)</f>
        <v>3.7534070814116131E-2</v>
      </c>
    </row>
    <row r="149" spans="1:7" x14ac:dyDescent="0.25">
      <c r="A149" s="169"/>
      <c r="B149" s="95" t="s">
        <v>111</v>
      </c>
      <c r="C149" s="93">
        <v>3.10090851295053</v>
      </c>
      <c r="D149" s="93">
        <v>3.0569237240643599</v>
      </c>
      <c r="E149" s="93">
        <v>3.1004098469579202</v>
      </c>
      <c r="F149" s="1">
        <f>AVERAGE(C149:E149)</f>
        <v>3.0860806946576034</v>
      </c>
      <c r="G149" s="2">
        <f>_xlfn.STDEV.P(C149:E149)</f>
        <v>2.0618096704505273E-2</v>
      </c>
    </row>
    <row r="150" spans="1:7" x14ac:dyDescent="0.25">
      <c r="A150" s="169"/>
      <c r="B150" s="95" t="s">
        <v>112</v>
      </c>
      <c r="C150" s="93">
        <v>3.04053953069899</v>
      </c>
      <c r="D150" s="93">
        <v>3.0069733851738101</v>
      </c>
      <c r="E150" s="93">
        <v>3.0495598065788201</v>
      </c>
      <c r="F150" s="1">
        <f>AVERAGE(C150:E150)</f>
        <v>3.0323575741505402</v>
      </c>
      <c r="G150" s="2">
        <f>_xlfn.STDEV.P(C150:E150)</f>
        <v>1.8323193530637896E-2</v>
      </c>
    </row>
    <row r="151" spans="1:7" ht="15.75" thickBot="1" x14ac:dyDescent="0.3">
      <c r="A151" s="170"/>
      <c r="B151" s="96" t="s">
        <v>113</v>
      </c>
      <c r="C151" s="93">
        <v>3.28260076616422</v>
      </c>
      <c r="D151" s="93">
        <v>3.2382995532021099</v>
      </c>
      <c r="E151" s="104">
        <v>3.2806417768080101</v>
      </c>
      <c r="F151" s="1">
        <f>AVERAGE(C151:E151)</f>
        <v>3.2671806987247805</v>
      </c>
      <c r="G151" s="2">
        <f>_xlfn.STDEV.P(C151:E151)</f>
        <v>2.0437707550027391E-2</v>
      </c>
    </row>
  </sheetData>
  <mergeCells count="11">
    <mergeCell ref="A148:A151"/>
    <mergeCell ref="A137:A146"/>
    <mergeCell ref="A93:A104"/>
    <mergeCell ref="A111:A122"/>
    <mergeCell ref="A123:A134"/>
    <mergeCell ref="A81:A92"/>
    <mergeCell ref="A1:A30"/>
    <mergeCell ref="A33:A44"/>
    <mergeCell ref="A45:A56"/>
    <mergeCell ref="A57:A67"/>
    <mergeCell ref="A68:A7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1"/>
  <sheetViews>
    <sheetView zoomScale="70" zoomScaleNormal="70" workbookViewId="0">
      <pane ySplit="1" topLeftCell="A135" activePane="bottomLeft" state="frozen"/>
      <selection pane="bottomLeft" activeCell="D160" sqref="D160"/>
    </sheetView>
  </sheetViews>
  <sheetFormatPr defaultRowHeight="15" x14ac:dyDescent="0.25"/>
  <cols>
    <col min="1" max="1" width="14.28515625" customWidth="1"/>
    <col min="2" max="2" width="43.140625" style="27" customWidth="1"/>
    <col min="3" max="5" width="20.42578125" bestFit="1" customWidth="1"/>
    <col min="6" max="6" width="13.28515625" style="1" bestFit="1" customWidth="1"/>
    <col min="7" max="7" width="17.5703125" style="2" bestFit="1" customWidth="1"/>
  </cols>
  <sheetData>
    <row r="1" spans="1:7" x14ac:dyDescent="0.25">
      <c r="A1" s="164" t="s">
        <v>24</v>
      </c>
      <c r="B1" s="16" t="s">
        <v>25</v>
      </c>
      <c r="C1" t="s">
        <v>171</v>
      </c>
      <c r="D1" t="s">
        <v>172</v>
      </c>
      <c r="E1" t="s">
        <v>173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0.95</v>
      </c>
      <c r="D5" s="8">
        <v>0.95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s="8" t="s">
        <v>174</v>
      </c>
      <c r="D8" s="8" t="s">
        <v>175</v>
      </c>
      <c r="E8" s="8" t="s">
        <v>176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2.6157400000000001E-2</v>
      </c>
      <c r="D12" s="8">
        <v>2.6354300000000001E-2</v>
      </c>
      <c r="E12" s="8">
        <v>2.6431699999999999E-2</v>
      </c>
      <c r="F12" s="1">
        <f>AVERAGE(C12:E12)</f>
        <v>2.6314466666666664E-2</v>
      </c>
      <c r="G12" s="2">
        <f>_xlfn.STDEV.P(C12:E12)</f>
        <v>1.1547046760487609E-4</v>
      </c>
    </row>
    <row r="13" spans="1:7" x14ac:dyDescent="0.25">
      <c r="A13" s="164"/>
      <c r="B13" s="21" t="s">
        <v>49</v>
      </c>
      <c r="C13" s="8">
        <v>54</v>
      </c>
      <c r="D13" s="8">
        <v>54</v>
      </c>
      <c r="E13" s="8">
        <v>54</v>
      </c>
      <c r="F13" s="1">
        <f t="shared" ref="F13:F76" si="0">AVERAGE(C13:E13)</f>
        <v>54</v>
      </c>
      <c r="G13" s="2">
        <f t="shared" ref="G13:G76" si="1">_xlfn.STDEV.P(C13:E13)</f>
        <v>0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2.0587399999999999E-2</v>
      </c>
      <c r="D18" s="11">
        <f>D12-D14</f>
        <v>2.0784299999999999E-2</v>
      </c>
      <c r="E18" s="11">
        <f>E12-E14</f>
        <v>2.0861699999999997E-2</v>
      </c>
      <c r="F18" s="1">
        <f t="shared" si="0"/>
        <v>2.0744466666666666E-2</v>
      </c>
      <c r="G18" s="2">
        <f t="shared" si="1"/>
        <v>1.1547046760487609E-4</v>
      </c>
    </row>
    <row r="19" spans="1:7" x14ac:dyDescent="0.25">
      <c r="A19" s="164"/>
      <c r="B19" s="23" t="s">
        <v>55</v>
      </c>
      <c r="C19" s="12">
        <f>C18*C10/100*C11</f>
        <v>3.26104416</v>
      </c>
      <c r="D19" s="12">
        <f>D18*D10/100*D11</f>
        <v>3.2922331199999997</v>
      </c>
      <c r="E19" s="12">
        <f>E18*E10/100*E11</f>
        <v>3.3044932799999991</v>
      </c>
      <c r="F19" s="1">
        <f t="shared" si="0"/>
        <v>3.2859235199999994</v>
      </c>
      <c r="G19" s="2">
        <f t="shared" si="1"/>
        <v>1.8290522068612144E-2</v>
      </c>
    </row>
    <row r="20" spans="1:7" x14ac:dyDescent="0.25">
      <c r="A20" s="164"/>
      <c r="B20" s="23" t="s">
        <v>56</v>
      </c>
      <c r="C20" s="12">
        <f>C19/C16</f>
        <v>1.89654692392513</v>
      </c>
      <c r="D20" s="12">
        <f>D19/D16</f>
        <v>1.9146856927507638</v>
      </c>
      <c r="E20" s="12">
        <f>E19/E16</f>
        <v>1.9218159147269143</v>
      </c>
      <c r="F20" s="1">
        <f t="shared" si="0"/>
        <v>1.9110161771342693</v>
      </c>
      <c r="G20" s="2">
        <f t="shared" si="1"/>
        <v>1.0637339350292964E-2</v>
      </c>
    </row>
    <row r="21" spans="1:7" x14ac:dyDescent="0.25">
      <c r="A21" s="164"/>
      <c r="B21" s="22" t="s">
        <v>57</v>
      </c>
      <c r="C21" s="13">
        <f>C13-C15</f>
        <v>41</v>
      </c>
      <c r="D21" s="13">
        <f>D13-D15</f>
        <v>41</v>
      </c>
      <c r="E21" s="13">
        <f>E13-E15</f>
        <v>41</v>
      </c>
      <c r="F21" s="1">
        <f t="shared" si="0"/>
        <v>41</v>
      </c>
      <c r="G21" s="2">
        <f t="shared" si="1"/>
        <v>0</v>
      </c>
    </row>
    <row r="22" spans="1:7" x14ac:dyDescent="0.25">
      <c r="A22" s="164"/>
      <c r="B22" s="22" t="s">
        <v>58</v>
      </c>
      <c r="C22" s="13">
        <f>C18/(C16/10^4)</f>
        <v>119.7314977225461</v>
      </c>
      <c r="D22" s="13">
        <f>D18/(D16/10^4)</f>
        <v>120.87662201709369</v>
      </c>
      <c r="E22" s="13">
        <f>E18/(E16/10^4)</f>
        <v>121.32676229336582</v>
      </c>
      <c r="F22" s="1">
        <f t="shared" si="0"/>
        <v>120.64496067766852</v>
      </c>
      <c r="G22" s="2">
        <f t="shared" si="1"/>
        <v>0.67154920140738872</v>
      </c>
    </row>
    <row r="23" spans="1:7" x14ac:dyDescent="0.25">
      <c r="A23" s="164"/>
      <c r="B23" s="22" t="s">
        <v>59</v>
      </c>
      <c r="C23" s="13">
        <f>C18/C16/(C21/10^4)</f>
        <v>2.9202804322572211</v>
      </c>
      <c r="D23" s="13">
        <f>D18/D16/(D21/10^4)</f>
        <v>2.9482102930998457</v>
      </c>
      <c r="E23" s="13">
        <f>E18/E16/(E21/10^4)</f>
        <v>2.9591893242284342</v>
      </c>
      <c r="F23" s="1">
        <f t="shared" si="0"/>
        <v>2.9425600165285002</v>
      </c>
      <c r="G23" s="2">
        <f t="shared" si="1"/>
        <v>1.6379248814814493E-2</v>
      </c>
    </row>
    <row r="24" spans="1:7" x14ac:dyDescent="0.25">
      <c r="A24" s="164"/>
      <c r="B24" s="22" t="s">
        <v>60</v>
      </c>
      <c r="C24" s="13">
        <f>(1-C23/C17)*100</f>
        <v>34.493485144521742</v>
      </c>
      <c r="D24" s="13">
        <f>(1-D23/D17)*100</f>
        <v>33.866974134144336</v>
      </c>
      <c r="E24" s="13">
        <f>(1-E23/E17)*100</f>
        <v>33.620697078769993</v>
      </c>
      <c r="F24" s="1">
        <f t="shared" si="0"/>
        <v>33.993718785812021</v>
      </c>
      <c r="G24" s="2">
        <f t="shared" si="1"/>
        <v>0.36741249023809958</v>
      </c>
    </row>
    <row r="25" spans="1:7" x14ac:dyDescent="0.25">
      <c r="A25" s="164"/>
      <c r="B25" s="24" t="s">
        <v>61</v>
      </c>
      <c r="C25" s="14">
        <f>(C18*C10)/100</f>
        <v>1.9763903999999999E-2</v>
      </c>
      <c r="D25" s="14">
        <f>(D18*D10)/100</f>
        <v>1.9952927999999998E-2</v>
      </c>
      <c r="E25" s="14">
        <f>(E18*E10)/100</f>
        <v>2.0027231999999996E-2</v>
      </c>
      <c r="F25" s="1">
        <f t="shared" si="0"/>
        <v>1.9914687999999996E-2</v>
      </c>
      <c r="G25" s="2">
        <f t="shared" si="1"/>
        <v>1.1085164890068049E-4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121</v>
      </c>
      <c r="D28" t="s">
        <v>121</v>
      </c>
      <c r="E28" t="s">
        <v>121</v>
      </c>
    </row>
    <row r="29" spans="1:7" x14ac:dyDescent="0.25">
      <c r="A29" s="164"/>
      <c r="B29" s="18" t="s">
        <v>67</v>
      </c>
      <c r="C29" t="s">
        <v>177</v>
      </c>
      <c r="D29" t="s">
        <v>178</v>
      </c>
      <c r="E29" t="s">
        <v>179</v>
      </c>
    </row>
    <row r="30" spans="1:7" x14ac:dyDescent="0.25">
      <c r="A30" s="164"/>
      <c r="B30" s="25" t="s">
        <v>71</v>
      </c>
      <c r="C30">
        <v>3.2930000000000001</v>
      </c>
      <c r="D30">
        <v>0.80800000000000005</v>
      </c>
      <c r="E30">
        <v>3.2989999999999999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3.6176883399999999</v>
      </c>
      <c r="D33" s="76">
        <v>3.6439068400000001</v>
      </c>
      <c r="E33" s="118">
        <v>3.6021829200000002</v>
      </c>
      <c r="F33" s="1">
        <f t="shared" si="0"/>
        <v>3.621259366666667</v>
      </c>
      <c r="G33" s="2">
        <f t="shared" si="1"/>
        <v>1.7219863503758912E-2</v>
      </c>
    </row>
    <row r="34" spans="1:7" x14ac:dyDescent="0.25">
      <c r="A34" s="166"/>
      <c r="B34" s="29" t="s">
        <v>74</v>
      </c>
      <c r="C34" s="78">
        <v>3.2888004999999998</v>
      </c>
      <c r="D34" s="79">
        <v>3.3302522899999998</v>
      </c>
      <c r="E34" s="114">
        <v>3.3504491600000001</v>
      </c>
      <c r="F34" s="1">
        <f t="shared" si="0"/>
        <v>3.3231673166666664</v>
      </c>
      <c r="G34" s="2">
        <f t="shared" si="1"/>
        <v>2.5661734876393203E-2</v>
      </c>
    </row>
    <row r="35" spans="1:7" x14ac:dyDescent="0.25">
      <c r="A35" s="166"/>
      <c r="B35" s="29" t="s">
        <v>75</v>
      </c>
      <c r="C35" s="78">
        <v>3.129772</v>
      </c>
      <c r="D35" s="79">
        <v>3.1702872599999998</v>
      </c>
      <c r="E35" s="114">
        <v>3.1920817600000002</v>
      </c>
      <c r="F35" s="1">
        <f t="shared" si="0"/>
        <v>3.1640470066666668</v>
      </c>
      <c r="G35" s="2">
        <f t="shared" si="1"/>
        <v>2.5817721550161862E-2</v>
      </c>
    </row>
    <row r="36" spans="1:7" x14ac:dyDescent="0.25">
      <c r="A36" s="166"/>
      <c r="B36" s="29" t="s">
        <v>76</v>
      </c>
      <c r="C36" s="78">
        <v>3.1479805199999999</v>
      </c>
      <c r="D36" s="79">
        <v>3.1833577900000001</v>
      </c>
      <c r="E36" s="114">
        <v>3.2078824300000002</v>
      </c>
      <c r="F36" s="1">
        <f t="shared" si="0"/>
        <v>3.1797402466666664</v>
      </c>
      <c r="G36" s="2">
        <f t="shared" si="1"/>
        <v>2.458827186876486E-2</v>
      </c>
    </row>
    <row r="37" spans="1:7" x14ac:dyDescent="0.25">
      <c r="A37" s="166"/>
      <c r="B37" s="29" t="s">
        <v>77</v>
      </c>
      <c r="C37" s="78">
        <v>3.1599866200000002</v>
      </c>
      <c r="D37" s="79">
        <v>3.1928504100000001</v>
      </c>
      <c r="E37" s="114">
        <v>3.2194717399999999</v>
      </c>
      <c r="F37" s="1">
        <f t="shared" si="0"/>
        <v>3.1907695899999999</v>
      </c>
      <c r="G37" s="2">
        <f t="shared" si="1"/>
        <v>2.4329231173739571E-2</v>
      </c>
    </row>
    <row r="38" spans="1:7" x14ac:dyDescent="0.25">
      <c r="A38" s="166"/>
      <c r="B38" s="29" t="s">
        <v>78</v>
      </c>
      <c r="C38" s="78">
        <v>3.16404079</v>
      </c>
      <c r="D38" s="79">
        <v>3.20297352</v>
      </c>
      <c r="E38" s="114">
        <v>3.2262631499999999</v>
      </c>
      <c r="F38" s="1">
        <f t="shared" si="0"/>
        <v>3.1977591533333332</v>
      </c>
      <c r="G38" s="2">
        <f t="shared" si="1"/>
        <v>2.5668368806674981E-2</v>
      </c>
    </row>
    <row r="39" spans="1:7" x14ac:dyDescent="0.25">
      <c r="A39" s="166"/>
      <c r="B39" s="29" t="s">
        <v>79</v>
      </c>
      <c r="C39" s="78">
        <v>3.19417705</v>
      </c>
      <c r="D39" s="79">
        <v>3.2243320600000001</v>
      </c>
      <c r="E39" s="114">
        <v>3.2505355100000002</v>
      </c>
      <c r="F39" s="1">
        <f t="shared" si="0"/>
        <v>3.2230148733333337</v>
      </c>
      <c r="G39" s="2">
        <f t="shared" si="1"/>
        <v>2.302708895958612E-2</v>
      </c>
    </row>
    <row r="40" spans="1:7" x14ac:dyDescent="0.25">
      <c r="A40" s="166"/>
      <c r="B40" s="29" t="s">
        <v>80</v>
      </c>
      <c r="C40" s="78">
        <v>3.1896355399999998</v>
      </c>
      <c r="D40" s="79">
        <v>3.21836133</v>
      </c>
      <c r="E40" s="114">
        <v>3.2453010400000002</v>
      </c>
      <c r="F40" s="1">
        <f t="shared" si="0"/>
        <v>3.2177659699999999</v>
      </c>
      <c r="G40" s="2">
        <f t="shared" si="1"/>
        <v>2.2729244197871461E-2</v>
      </c>
    </row>
    <row r="41" spans="1:7" x14ac:dyDescent="0.25">
      <c r="A41" s="166"/>
      <c r="B41" s="29" t="s">
        <v>80</v>
      </c>
      <c r="C41" s="78">
        <v>3.0586233699999998</v>
      </c>
      <c r="D41" s="79">
        <v>3.0858540900000002</v>
      </c>
      <c r="E41" s="114">
        <v>3.1130358199999999</v>
      </c>
      <c r="F41" s="1">
        <f t="shared" si="0"/>
        <v>3.08583776</v>
      </c>
      <c r="G41" s="2">
        <f t="shared" si="1"/>
        <v>2.2213792693614204E-2</v>
      </c>
    </row>
    <row r="42" spans="1:7" x14ac:dyDescent="0.25">
      <c r="A42" s="166"/>
      <c r="B42" s="29" t="s">
        <v>80</v>
      </c>
      <c r="C42" s="78">
        <v>2.9420275199999999</v>
      </c>
      <c r="D42" s="79">
        <v>2.9676117099999999</v>
      </c>
      <c r="E42" s="114">
        <v>2.9973999600000001</v>
      </c>
      <c r="F42" s="1">
        <f t="shared" si="0"/>
        <v>2.9690130633333331</v>
      </c>
      <c r="G42" s="2">
        <f t="shared" si="1"/>
        <v>2.2627411418631733E-2</v>
      </c>
    </row>
    <row r="43" spans="1:7" x14ac:dyDescent="0.25">
      <c r="A43" s="166"/>
      <c r="B43" s="29" t="s">
        <v>80</v>
      </c>
      <c r="C43" s="78">
        <v>2.6072078099999998</v>
      </c>
      <c r="D43" s="79">
        <v>2.6313269699999999</v>
      </c>
      <c r="E43" s="114">
        <v>2.6541411899999998</v>
      </c>
      <c r="F43" s="1">
        <f t="shared" si="0"/>
        <v>2.6308919899999998</v>
      </c>
      <c r="G43" s="2">
        <f t="shared" si="1"/>
        <v>1.9162940714765059E-2</v>
      </c>
    </row>
    <row r="44" spans="1:7" ht="15.75" thickBot="1" x14ac:dyDescent="0.3">
      <c r="A44" s="167"/>
      <c r="B44" s="30" t="s">
        <v>80</v>
      </c>
      <c r="C44" s="81">
        <v>2.4457077800000002</v>
      </c>
      <c r="D44" s="82">
        <v>2.5349891100000002</v>
      </c>
      <c r="E44" s="115">
        <v>2.5513302000000002</v>
      </c>
      <c r="F44" s="1">
        <f t="shared" si="0"/>
        <v>2.510675696666667</v>
      </c>
      <c r="G44" s="2">
        <f t="shared" si="1"/>
        <v>4.6421119134881068E-2</v>
      </c>
    </row>
    <row r="45" spans="1:7" ht="15.75" thickTop="1" x14ac:dyDescent="0.25">
      <c r="A45" s="165" t="s">
        <v>81</v>
      </c>
      <c r="B45" s="28" t="s">
        <v>73</v>
      </c>
      <c r="C45" s="78">
        <v>3.2680764500000001</v>
      </c>
      <c r="D45" s="79">
        <v>3.3048531699999999</v>
      </c>
      <c r="E45" s="114">
        <v>3.28627768</v>
      </c>
      <c r="F45" s="1">
        <f t="shared" si="0"/>
        <v>3.286402433333333</v>
      </c>
      <c r="G45" s="2">
        <f t="shared" si="1"/>
        <v>1.50142922140923E-2</v>
      </c>
    </row>
    <row r="46" spans="1:7" x14ac:dyDescent="0.25">
      <c r="A46" s="166"/>
      <c r="B46" s="29" t="s">
        <v>74</v>
      </c>
      <c r="C46" s="78">
        <v>3.11949253</v>
      </c>
      <c r="D46" s="79">
        <v>3.16003598</v>
      </c>
      <c r="E46" s="114">
        <v>3.1833201999999998</v>
      </c>
      <c r="F46" s="1">
        <f t="shared" si="0"/>
        <v>3.1542829033333333</v>
      </c>
      <c r="G46" s="2">
        <f t="shared" si="1"/>
        <v>2.6373171756624528E-2</v>
      </c>
    </row>
    <row r="47" spans="1:7" x14ac:dyDescent="0.25">
      <c r="A47" s="166"/>
      <c r="B47" s="29" t="s">
        <v>75</v>
      </c>
      <c r="C47" s="78">
        <v>3.1372385199999999</v>
      </c>
      <c r="D47" s="79">
        <v>3.1732481799999999</v>
      </c>
      <c r="E47" s="114">
        <v>3.2004492999999998</v>
      </c>
      <c r="F47" s="1">
        <f t="shared" si="0"/>
        <v>3.1703120000000005</v>
      </c>
      <c r="G47" s="2">
        <f t="shared" si="1"/>
        <v>2.5889078029114866E-2</v>
      </c>
    </row>
    <row r="48" spans="1:7" x14ac:dyDescent="0.25">
      <c r="A48" s="166"/>
      <c r="B48" s="29" t="s">
        <v>76</v>
      </c>
      <c r="C48" s="78">
        <v>3.1503107799999999</v>
      </c>
      <c r="D48" s="79">
        <v>3.1831157399999999</v>
      </c>
      <c r="E48" s="114">
        <v>3.2131580099999999</v>
      </c>
      <c r="F48" s="1">
        <f t="shared" si="0"/>
        <v>3.1821948433333334</v>
      </c>
      <c r="G48" s="2">
        <f t="shared" si="1"/>
        <v>2.5665536135334406E-2</v>
      </c>
    </row>
    <row r="49" spans="1:7" x14ac:dyDescent="0.25">
      <c r="A49" s="166"/>
      <c r="B49" s="29" t="s">
        <v>77</v>
      </c>
      <c r="C49" s="78">
        <v>3.1542094000000001</v>
      </c>
      <c r="D49" s="79">
        <v>3.1933852699999998</v>
      </c>
      <c r="E49" s="114">
        <v>3.2189479300000001</v>
      </c>
      <c r="F49" s="1">
        <f t="shared" si="0"/>
        <v>3.1888475333333335</v>
      </c>
      <c r="G49" s="2">
        <f t="shared" si="1"/>
        <v>2.6623455913689274E-2</v>
      </c>
    </row>
    <row r="50" spans="1:7" x14ac:dyDescent="0.25">
      <c r="A50" s="166"/>
      <c r="B50" s="29" t="s">
        <v>78</v>
      </c>
      <c r="C50" s="78">
        <v>3.1707409100000001</v>
      </c>
      <c r="D50" s="79">
        <v>3.2015064600000001</v>
      </c>
      <c r="E50" s="114">
        <v>3.2307668</v>
      </c>
      <c r="F50" s="1">
        <f t="shared" si="0"/>
        <v>3.2010047233333334</v>
      </c>
      <c r="G50" s="2">
        <f t="shared" si="1"/>
        <v>2.4508035040710367E-2</v>
      </c>
    </row>
    <row r="51" spans="1:7" x14ac:dyDescent="0.25">
      <c r="A51" s="166"/>
      <c r="B51" s="29" t="s">
        <v>79</v>
      </c>
      <c r="C51" s="78">
        <v>3.1918285399999999</v>
      </c>
      <c r="D51" s="79">
        <v>3.2200564100000002</v>
      </c>
      <c r="E51" s="114">
        <v>3.2501700200000001</v>
      </c>
      <c r="F51" s="1">
        <f t="shared" si="0"/>
        <v>3.2206849900000001</v>
      </c>
      <c r="G51" s="2">
        <f t="shared" si="1"/>
        <v>2.3821956353469443E-2</v>
      </c>
    </row>
    <row r="52" spans="1:7" x14ac:dyDescent="0.25">
      <c r="A52" s="166"/>
      <c r="B52" s="29" t="s">
        <v>82</v>
      </c>
      <c r="C52" s="78">
        <v>3.0465598599999999</v>
      </c>
      <c r="D52" s="79">
        <v>3.0764142300000001</v>
      </c>
      <c r="E52" s="114">
        <v>3.1081868099999999</v>
      </c>
      <c r="F52" s="1">
        <f t="shared" si="0"/>
        <v>3.0770536333333331</v>
      </c>
      <c r="G52" s="2">
        <f t="shared" si="1"/>
        <v>2.5163159168946864E-2</v>
      </c>
    </row>
    <row r="53" spans="1:7" x14ac:dyDescent="0.25">
      <c r="A53" s="166"/>
      <c r="B53" s="29" t="s">
        <v>83</v>
      </c>
      <c r="C53" s="78">
        <v>2.93335262</v>
      </c>
      <c r="D53" s="79">
        <v>2.9603375199999999</v>
      </c>
      <c r="E53" s="114">
        <v>2.9930353900000002</v>
      </c>
      <c r="F53" s="1">
        <f t="shared" si="0"/>
        <v>2.9622418433333331</v>
      </c>
      <c r="G53" s="2">
        <f t="shared" si="1"/>
        <v>2.4402569458107481E-2</v>
      </c>
    </row>
    <row r="54" spans="1:7" x14ac:dyDescent="0.25">
      <c r="A54" s="166"/>
      <c r="B54" s="29" t="s">
        <v>84</v>
      </c>
      <c r="C54" s="78">
        <v>2.7831773499999999</v>
      </c>
      <c r="D54" s="79">
        <v>2.8221491099999998</v>
      </c>
      <c r="E54" s="114">
        <v>2.8488942700000002</v>
      </c>
      <c r="F54" s="1">
        <f t="shared" si="0"/>
        <v>2.8180735766666665</v>
      </c>
      <c r="G54" s="2">
        <f t="shared" si="1"/>
        <v>2.6983153664647156E-2</v>
      </c>
    </row>
    <row r="55" spans="1:7" x14ac:dyDescent="0.25">
      <c r="A55" s="166"/>
      <c r="B55" s="29" t="s">
        <v>85</v>
      </c>
      <c r="C55" s="78">
        <v>2.4371253799999999</v>
      </c>
      <c r="D55" s="79">
        <v>2.5284606100000002</v>
      </c>
      <c r="E55" s="114">
        <v>2.5488791700000002</v>
      </c>
      <c r="F55" s="1">
        <f t="shared" si="0"/>
        <v>2.5048217200000003</v>
      </c>
      <c r="G55" s="2">
        <f t="shared" si="1"/>
        <v>4.8588923533147761E-2</v>
      </c>
    </row>
    <row r="56" spans="1:7" ht="15.75" thickBot="1" x14ac:dyDescent="0.3">
      <c r="A56" s="167"/>
      <c r="B56" s="30" t="s">
        <v>86</v>
      </c>
      <c r="C56" s="81">
        <v>1.5962121899999999</v>
      </c>
      <c r="D56" s="82">
        <v>1.76175386</v>
      </c>
      <c r="E56" s="115">
        <v>1.71789105</v>
      </c>
      <c r="F56" s="1">
        <f t="shared" si="0"/>
        <v>1.6919523666666667</v>
      </c>
      <c r="G56" s="2">
        <f t="shared" si="1"/>
        <v>7.0026769150077842E-2</v>
      </c>
    </row>
    <row r="57" spans="1:7" ht="15.75" thickTop="1" x14ac:dyDescent="0.25">
      <c r="A57" s="165" t="s">
        <v>87</v>
      </c>
      <c r="B57" s="31">
        <v>0.9</v>
      </c>
      <c r="C57" s="84">
        <v>23.881326099999999</v>
      </c>
      <c r="D57" s="85">
        <v>17.289000900000001</v>
      </c>
      <c r="E57" s="112">
        <v>19.649741500000001</v>
      </c>
      <c r="F57" s="1">
        <f t="shared" si="0"/>
        <v>20.27335616666667</v>
      </c>
      <c r="G57" s="2">
        <f t="shared" si="1"/>
        <v>2.7271913910346224</v>
      </c>
    </row>
    <row r="58" spans="1:7" x14ac:dyDescent="0.25">
      <c r="A58" s="166"/>
      <c r="B58" s="32">
        <v>0.8</v>
      </c>
      <c r="C58" s="87">
        <v>25.0534046</v>
      </c>
      <c r="D58" s="88">
        <v>17.971054599999999</v>
      </c>
      <c r="E58" s="119">
        <v>20.573997200000001</v>
      </c>
      <c r="F58" s="1">
        <f t="shared" si="0"/>
        <v>21.199485466666665</v>
      </c>
      <c r="G58" s="2">
        <f t="shared" si="1"/>
        <v>2.9249896933639907</v>
      </c>
    </row>
    <row r="59" spans="1:7" x14ac:dyDescent="0.25">
      <c r="A59" s="166"/>
      <c r="B59" s="32">
        <v>0.7</v>
      </c>
      <c r="C59" s="78">
        <v>26.571694699999998</v>
      </c>
      <c r="D59" s="79">
        <v>18.691288</v>
      </c>
      <c r="E59" s="114">
        <v>21.909767899999999</v>
      </c>
      <c r="F59" s="1">
        <f t="shared" si="0"/>
        <v>22.390916866666668</v>
      </c>
      <c r="G59" s="2">
        <f t="shared" si="1"/>
        <v>3.2351023358820856</v>
      </c>
    </row>
    <row r="60" spans="1:7" x14ac:dyDescent="0.25">
      <c r="A60" s="166"/>
      <c r="B60" s="32">
        <v>0.6</v>
      </c>
      <c r="C60" s="78">
        <v>29.114414700000001</v>
      </c>
      <c r="D60" s="79">
        <v>19.780345799999999</v>
      </c>
      <c r="E60" s="114">
        <v>23.9583136</v>
      </c>
      <c r="F60" s="1">
        <f t="shared" si="0"/>
        <v>24.284358033333334</v>
      </c>
      <c r="G60" s="2">
        <f t="shared" si="1"/>
        <v>3.8175855621817356</v>
      </c>
    </row>
    <row r="61" spans="1:7" x14ac:dyDescent="0.25">
      <c r="A61" s="166"/>
      <c r="B61" s="32">
        <v>0.5</v>
      </c>
      <c r="C61" s="78">
        <v>33.917859399999998</v>
      </c>
      <c r="D61" s="79">
        <v>21.811606699999999</v>
      </c>
      <c r="E61" s="114">
        <v>27.777825199999999</v>
      </c>
      <c r="F61" s="1">
        <f t="shared" si="0"/>
        <v>27.835763766666663</v>
      </c>
      <c r="G61" s="2">
        <f t="shared" si="1"/>
        <v>4.9425267672311719</v>
      </c>
    </row>
    <row r="62" spans="1:7" x14ac:dyDescent="0.25">
      <c r="A62" s="166"/>
      <c r="B62" s="32">
        <v>0.4</v>
      </c>
      <c r="C62" s="78">
        <v>44.524054499999998</v>
      </c>
      <c r="D62" s="79">
        <v>25.996040699999998</v>
      </c>
      <c r="E62" s="114">
        <v>36.010642400000002</v>
      </c>
      <c r="F62" s="1">
        <f t="shared" si="0"/>
        <v>35.510245866666672</v>
      </c>
      <c r="G62" s="2">
        <f t="shared" si="1"/>
        <v>7.5723013393629222</v>
      </c>
    </row>
    <row r="63" spans="1:7" x14ac:dyDescent="0.25">
      <c r="A63" s="166"/>
      <c r="B63" s="32">
        <v>0.3</v>
      </c>
      <c r="C63" s="78">
        <v>65.436587099999997</v>
      </c>
      <c r="D63" s="79">
        <v>35.813098400000001</v>
      </c>
      <c r="E63" s="114">
        <v>56.507594400000002</v>
      </c>
      <c r="F63" s="1">
        <f t="shared" si="0"/>
        <v>52.585759966666672</v>
      </c>
      <c r="G63" s="2">
        <f t="shared" si="1"/>
        <v>12.407614857594931</v>
      </c>
    </row>
    <row r="64" spans="1:7" x14ac:dyDescent="0.25">
      <c r="A64" s="166"/>
      <c r="B64" s="32">
        <v>0.2</v>
      </c>
      <c r="C64" s="78">
        <v>76.350604700000005</v>
      </c>
      <c r="D64" s="79">
        <v>51.533990899999999</v>
      </c>
      <c r="E64" s="114">
        <v>72.773141100000004</v>
      </c>
      <c r="F64" s="1">
        <f t="shared" si="0"/>
        <v>66.885912233333343</v>
      </c>
      <c r="G64" s="2">
        <f t="shared" si="1"/>
        <v>10.953254551988051</v>
      </c>
    </row>
    <row r="65" spans="1:7" x14ac:dyDescent="0.25">
      <c r="A65" s="166"/>
      <c r="B65" s="32">
        <v>0.1</v>
      </c>
      <c r="C65" s="78">
        <v>84.838633999999999</v>
      </c>
      <c r="D65" s="79">
        <v>66.502763299999998</v>
      </c>
      <c r="E65" s="114">
        <v>80.586178799999999</v>
      </c>
      <c r="F65" s="1">
        <f t="shared" si="0"/>
        <v>77.309192033333332</v>
      </c>
      <c r="G65" s="2">
        <f t="shared" si="1"/>
        <v>7.8360287681735104</v>
      </c>
    </row>
    <row r="66" spans="1:7" x14ac:dyDescent="0.25">
      <c r="A66" s="166"/>
      <c r="B66" s="32">
        <v>0.5</v>
      </c>
      <c r="C66" s="78">
        <v>21.187578899999998</v>
      </c>
      <c r="D66" s="79">
        <v>14.5372822</v>
      </c>
      <c r="E66" s="114">
        <v>16.650123499999999</v>
      </c>
      <c r="F66" s="1">
        <f t="shared" si="0"/>
        <v>17.4583282</v>
      </c>
      <c r="G66" s="2">
        <f t="shared" si="1"/>
        <v>2.7744678381429351</v>
      </c>
    </row>
    <row r="67" spans="1:7" ht="15.75" thickBot="1" x14ac:dyDescent="0.3">
      <c r="A67" s="167"/>
      <c r="B67" s="33">
        <v>0.2</v>
      </c>
      <c r="C67" s="81">
        <v>54.2917396</v>
      </c>
      <c r="D67" s="82">
        <v>34.231041400000002</v>
      </c>
      <c r="E67" s="115">
        <v>38.690092900000003</v>
      </c>
      <c r="F67" s="1">
        <f t="shared" si="0"/>
        <v>42.404291300000004</v>
      </c>
      <c r="G67" s="2">
        <f t="shared" si="1"/>
        <v>8.6005563922261441</v>
      </c>
    </row>
    <row r="68" spans="1:7" ht="15.75" thickTop="1" x14ac:dyDescent="0.25">
      <c r="A68" s="165" t="s">
        <v>88</v>
      </c>
      <c r="B68" s="31">
        <v>0.9</v>
      </c>
      <c r="C68" s="78">
        <v>24.308397200000002</v>
      </c>
      <c r="D68" s="79">
        <v>17.522111800000001</v>
      </c>
      <c r="E68" s="114">
        <v>19.9444795</v>
      </c>
      <c r="F68" s="1">
        <f t="shared" si="0"/>
        <v>20.591662833333334</v>
      </c>
      <c r="G68" s="2">
        <f t="shared" si="1"/>
        <v>2.8080303990248594</v>
      </c>
    </row>
    <row r="69" spans="1:7" x14ac:dyDescent="0.25">
      <c r="A69" s="166"/>
      <c r="B69" s="32">
        <v>0.8</v>
      </c>
      <c r="C69" s="78">
        <v>25.368147100000002</v>
      </c>
      <c r="D69" s="79">
        <v>18.244477199999999</v>
      </c>
      <c r="E69" s="114">
        <v>20.918227699999999</v>
      </c>
      <c r="F69" s="1">
        <f t="shared" si="0"/>
        <v>21.510283999999999</v>
      </c>
      <c r="G69" s="2">
        <f t="shared" si="1"/>
        <v>2.9382042370376515</v>
      </c>
    </row>
    <row r="70" spans="1:7" x14ac:dyDescent="0.25">
      <c r="A70" s="166"/>
      <c r="B70" s="32">
        <v>0.7</v>
      </c>
      <c r="C70" s="78">
        <v>27.010264500000002</v>
      </c>
      <c r="D70" s="79">
        <v>19.0521536</v>
      </c>
      <c r="E70" s="114">
        <v>22.216248100000001</v>
      </c>
      <c r="F70" s="1">
        <f t="shared" si="0"/>
        <v>22.7595554</v>
      </c>
      <c r="G70" s="2">
        <f t="shared" si="1"/>
        <v>3.2715204814529937</v>
      </c>
    </row>
    <row r="71" spans="1:7" x14ac:dyDescent="0.25">
      <c r="A71" s="166"/>
      <c r="B71" s="32">
        <v>0.6</v>
      </c>
      <c r="C71" s="78">
        <v>29.814275599999998</v>
      </c>
      <c r="D71" s="79">
        <v>20.009254299999998</v>
      </c>
      <c r="E71" s="114">
        <v>24.401824699999999</v>
      </c>
      <c r="F71" s="1">
        <f t="shared" si="0"/>
        <v>24.741784866666666</v>
      </c>
      <c r="G71" s="2">
        <f t="shared" si="1"/>
        <v>4.0100947918599266</v>
      </c>
    </row>
    <row r="72" spans="1:7" x14ac:dyDescent="0.25">
      <c r="A72" s="166"/>
      <c r="B72" s="32">
        <v>0.5</v>
      </c>
      <c r="C72" s="78">
        <v>34.8619865</v>
      </c>
      <c r="D72" s="79">
        <v>22.136405199999999</v>
      </c>
      <c r="E72" s="114">
        <v>28.4437827</v>
      </c>
      <c r="F72" s="1">
        <f t="shared" si="0"/>
        <v>28.480724800000001</v>
      </c>
      <c r="G72" s="2">
        <f t="shared" si="1"/>
        <v>5.1952624826080287</v>
      </c>
    </row>
    <row r="73" spans="1:7" x14ac:dyDescent="0.25">
      <c r="A73" s="166"/>
      <c r="B73" s="32">
        <v>0.4</v>
      </c>
      <c r="C73" s="78">
        <v>45.671275899999998</v>
      </c>
      <c r="D73" s="79">
        <v>26.4967729</v>
      </c>
      <c r="E73" s="114">
        <v>36.884318800000003</v>
      </c>
      <c r="F73" s="1">
        <f t="shared" si="0"/>
        <v>36.350789200000001</v>
      </c>
      <c r="G73" s="2">
        <f t="shared" si="1"/>
        <v>7.837043732590729</v>
      </c>
    </row>
    <row r="74" spans="1:7" x14ac:dyDescent="0.25">
      <c r="A74" s="166"/>
      <c r="B74" s="32">
        <v>0.3</v>
      </c>
      <c r="C74" s="78">
        <v>63.603079299999997</v>
      </c>
      <c r="D74" s="79">
        <v>36.364572099999997</v>
      </c>
      <c r="E74" s="114">
        <v>55.044941600000001</v>
      </c>
      <c r="F74" s="1">
        <f t="shared" si="0"/>
        <v>51.670864333333327</v>
      </c>
      <c r="G74" s="2">
        <f t="shared" si="1"/>
        <v>11.373136966032165</v>
      </c>
    </row>
    <row r="75" spans="1:7" x14ac:dyDescent="0.25">
      <c r="A75" s="166"/>
      <c r="B75" s="32">
        <v>0.2</v>
      </c>
      <c r="C75" s="78">
        <v>74.017795500000005</v>
      </c>
      <c r="D75" s="79">
        <v>53.995073400000003</v>
      </c>
      <c r="E75" s="114">
        <v>69.515179099999997</v>
      </c>
      <c r="F75" s="1">
        <f t="shared" si="0"/>
        <v>65.842682666666676</v>
      </c>
      <c r="G75" s="2">
        <f t="shared" si="1"/>
        <v>8.5768204136922268</v>
      </c>
    </row>
    <row r="76" spans="1:7" x14ac:dyDescent="0.25">
      <c r="A76" s="166"/>
      <c r="B76" s="32">
        <v>0.1</v>
      </c>
      <c r="C76" s="78">
        <v>135.459631</v>
      </c>
      <c r="D76" s="79">
        <v>121.945517</v>
      </c>
      <c r="E76" s="114">
        <v>128.93584899999999</v>
      </c>
      <c r="F76" s="1">
        <f t="shared" si="0"/>
        <v>128.78033233333335</v>
      </c>
      <c r="G76" s="2">
        <f t="shared" si="1"/>
        <v>5.5182097565821335</v>
      </c>
    </row>
    <row r="77" spans="1:7" x14ac:dyDescent="0.25">
      <c r="A77" s="166"/>
      <c r="B77" s="32">
        <v>0.5</v>
      </c>
      <c r="C77" s="78">
        <v>21.302247600000001</v>
      </c>
      <c r="D77" s="79">
        <v>14.492176600000001</v>
      </c>
      <c r="E77" s="114">
        <v>16.670303799999999</v>
      </c>
      <c r="F77" s="1">
        <f t="shared" ref="F77:F138" si="2">AVERAGE(C77:E77)</f>
        <v>17.488242666666668</v>
      </c>
      <c r="G77" s="2">
        <f t="shared" ref="G77:G138" si="3">_xlfn.STDEV.P(C77:E77)</f>
        <v>2.8397223747476064</v>
      </c>
    </row>
    <row r="78" spans="1:7" ht="15.75" thickBot="1" x14ac:dyDescent="0.3">
      <c r="A78" s="167"/>
      <c r="B78" s="33">
        <v>0.2</v>
      </c>
      <c r="C78" s="81">
        <v>63.178519199999997</v>
      </c>
      <c r="D78" s="82">
        <v>39.8445544</v>
      </c>
      <c r="E78" s="115">
        <v>45.122570500000002</v>
      </c>
      <c r="F78" s="1">
        <f t="shared" si="2"/>
        <v>49.381881366666668</v>
      </c>
      <c r="G78" s="2">
        <f t="shared" si="3"/>
        <v>9.9908216250746165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1.9763903999999999E-2</v>
      </c>
      <c r="D80">
        <f>D25</f>
        <v>1.9952927999999998E-2</v>
      </c>
      <c r="E80">
        <f>E25</f>
        <v>2.0027231999999996E-2</v>
      </c>
      <c r="F80" s="1">
        <f t="shared" si="2"/>
        <v>1.9914687999999996E-2</v>
      </c>
      <c r="G80" s="2">
        <f t="shared" si="3"/>
        <v>1.1085164890068049E-4</v>
      </c>
    </row>
    <row r="81" spans="1:7" ht="15.75" thickTop="1" x14ac:dyDescent="0.25">
      <c r="A81" s="161" t="s">
        <v>90</v>
      </c>
      <c r="B81" s="38" t="s">
        <v>73</v>
      </c>
      <c r="C81">
        <f>C33/C80</f>
        <v>183.04522932311349</v>
      </c>
      <c r="D81">
        <f>D33/D80</f>
        <v>182.62516859680946</v>
      </c>
      <c r="E81">
        <f>E33/E80</f>
        <v>179.86424284693965</v>
      </c>
      <c r="F81" s="1">
        <f t="shared" si="2"/>
        <v>181.84488025562086</v>
      </c>
      <c r="G81" s="2">
        <f t="shared" si="3"/>
        <v>1.4109822020957259</v>
      </c>
    </row>
    <row r="82" spans="1:7" x14ac:dyDescent="0.25">
      <c r="A82" s="162"/>
      <c r="B82" s="38" t="s">
        <v>74</v>
      </c>
      <c r="C82">
        <f>C34/C80</f>
        <v>166.40439560928854</v>
      </c>
      <c r="D82">
        <f>D34/D80</f>
        <v>166.90544315100018</v>
      </c>
      <c r="E82">
        <f>E34/E80</f>
        <v>167.29466957790277</v>
      </c>
      <c r="F82" s="1">
        <f t="shared" si="2"/>
        <v>166.86816944606383</v>
      </c>
      <c r="G82" s="2">
        <f t="shared" si="3"/>
        <v>0.36440721874279774</v>
      </c>
    </row>
    <row r="83" spans="1:7" x14ac:dyDescent="0.25">
      <c r="A83" s="162"/>
      <c r="B83" s="38" t="s">
        <v>75</v>
      </c>
      <c r="C83">
        <f>C35/C80</f>
        <v>158.35798433345963</v>
      </c>
      <c r="D83">
        <f>D35/D80</f>
        <v>158.88832255596773</v>
      </c>
      <c r="E83">
        <f>E35/E80</f>
        <v>159.38706657015811</v>
      </c>
      <c r="F83" s="1">
        <f t="shared" si="2"/>
        <v>158.87779115319518</v>
      </c>
      <c r="G83" s="2">
        <f t="shared" si="3"/>
        <v>0.42018705779319931</v>
      </c>
    </row>
    <row r="84" spans="1:7" x14ac:dyDescent="0.25">
      <c r="A84" s="162"/>
      <c r="B84" s="38" t="s">
        <v>76</v>
      </c>
      <c r="C84">
        <f>C36/C80</f>
        <v>159.27928611675102</v>
      </c>
      <c r="D84">
        <f>D36/D80</f>
        <v>159.54339082464489</v>
      </c>
      <c r="E84">
        <f>E36/E80</f>
        <v>160.17602582323912</v>
      </c>
      <c r="F84" s="1">
        <f t="shared" si="2"/>
        <v>159.66623425487833</v>
      </c>
      <c r="G84" s="2">
        <f t="shared" si="3"/>
        <v>0.37625647862570927</v>
      </c>
    </row>
    <row r="85" spans="1:7" x14ac:dyDescent="0.25">
      <c r="A85" s="162"/>
      <c r="B85" s="38" t="s">
        <v>77</v>
      </c>
      <c r="C85">
        <f>C37/C80</f>
        <v>159.88676225102088</v>
      </c>
      <c r="D85">
        <f>D37/D80</f>
        <v>160.01914155155578</v>
      </c>
      <c r="E85">
        <f>E37/E80</f>
        <v>160.75470339585624</v>
      </c>
      <c r="F85" s="1">
        <f t="shared" si="2"/>
        <v>160.22020239947764</v>
      </c>
      <c r="G85" s="2">
        <f t="shared" si="3"/>
        <v>0.38179362326595517</v>
      </c>
    </row>
    <row r="86" spans="1:7" x14ac:dyDescent="0.25">
      <c r="A86" s="162"/>
      <c r="B86" s="38" t="s">
        <v>78</v>
      </c>
      <c r="C86">
        <f>C38/C80</f>
        <v>160.09189226986734</v>
      </c>
      <c r="D86">
        <f>D38/D80</f>
        <v>160.52649114956964</v>
      </c>
      <c r="E86">
        <f>E38/E80</f>
        <v>161.09381216535567</v>
      </c>
      <c r="F86" s="1">
        <f t="shared" si="2"/>
        <v>160.57073186159755</v>
      </c>
      <c r="G86" s="2">
        <f t="shared" si="3"/>
        <v>0.4102266037971275</v>
      </c>
    </row>
    <row r="87" spans="1:7" x14ac:dyDescent="0.25">
      <c r="A87" s="162"/>
      <c r="B87" s="38" t="s">
        <v>79</v>
      </c>
      <c r="C87">
        <f>C39/C80</f>
        <v>161.61670538371368</v>
      </c>
      <c r="D87">
        <f>D39/D80</f>
        <v>161.59693755222293</v>
      </c>
      <c r="E87">
        <f>E39/E80</f>
        <v>162.30577995002011</v>
      </c>
      <c r="F87" s="1">
        <f t="shared" si="2"/>
        <v>161.83980762865224</v>
      </c>
      <c r="G87" s="2">
        <f t="shared" si="3"/>
        <v>0.32959100412600667</v>
      </c>
    </row>
    <row r="88" spans="1:7" x14ac:dyDescent="0.25">
      <c r="A88" s="162"/>
      <c r="B88" s="38" t="s">
        <v>80</v>
      </c>
      <c r="C88">
        <f>C40/C80</f>
        <v>161.38691728112016</v>
      </c>
      <c r="D88">
        <f>D40/D80</f>
        <v>161.29769675909222</v>
      </c>
      <c r="E88">
        <f>E40/E80</f>
        <v>162.04441232817399</v>
      </c>
      <c r="F88" s="1">
        <f t="shared" si="2"/>
        <v>161.57634212279547</v>
      </c>
      <c r="G88" s="2">
        <f t="shared" si="3"/>
        <v>0.33297383606930392</v>
      </c>
    </row>
    <row r="89" spans="1:7" x14ac:dyDescent="0.25">
      <c r="A89" s="162"/>
      <c r="B89" s="38" t="s">
        <v>80</v>
      </c>
      <c r="C89">
        <f>C41/C80</f>
        <v>154.75805640424079</v>
      </c>
      <c r="D89">
        <f>D41/D80</f>
        <v>154.65670451975774</v>
      </c>
      <c r="E89">
        <f>E41/E80</f>
        <v>155.44014370033764</v>
      </c>
      <c r="F89" s="1">
        <f t="shared" si="2"/>
        <v>154.95163487477873</v>
      </c>
      <c r="G89" s="2">
        <f t="shared" si="3"/>
        <v>0.34789721241460797</v>
      </c>
    </row>
    <row r="90" spans="1:7" x14ac:dyDescent="0.25">
      <c r="A90" s="162"/>
      <c r="B90" s="38" t="s">
        <v>80</v>
      </c>
      <c r="C90">
        <f>C42/C80</f>
        <v>148.8586222641033</v>
      </c>
      <c r="D90">
        <f>D42/D80</f>
        <v>148.73063792943071</v>
      </c>
      <c r="E90">
        <f>E42/E80</f>
        <v>149.66621248508037</v>
      </c>
      <c r="F90" s="1">
        <f t="shared" si="2"/>
        <v>149.08515755953815</v>
      </c>
      <c r="G90" s="2">
        <f t="shared" si="3"/>
        <v>0.41417678781978112</v>
      </c>
    </row>
    <row r="91" spans="1:7" x14ac:dyDescent="0.25">
      <c r="A91" s="162"/>
      <c r="B91" s="38" t="s">
        <v>80</v>
      </c>
      <c r="C91">
        <f>C43/C80</f>
        <v>131.91765199830965</v>
      </c>
      <c r="D91">
        <f>D43/D80</f>
        <v>131.87673358015425</v>
      </c>
      <c r="E91">
        <f>E43/E80</f>
        <v>132.5266112661001</v>
      </c>
      <c r="F91" s="1">
        <f t="shared" si="2"/>
        <v>132.10699894818799</v>
      </c>
      <c r="G91" s="2">
        <f t="shared" si="3"/>
        <v>0.29718058734688613</v>
      </c>
    </row>
    <row r="92" spans="1:7" ht="15.75" thickBot="1" x14ac:dyDescent="0.3">
      <c r="A92" s="163"/>
      <c r="B92" s="39" t="s">
        <v>80</v>
      </c>
      <c r="C92">
        <f>C44/C80</f>
        <v>123.74618800010364</v>
      </c>
      <c r="D92">
        <f>D44/D80</f>
        <v>127.04847679498469</v>
      </c>
      <c r="E92">
        <f>E44/E80</f>
        <v>127.393051620913</v>
      </c>
      <c r="F92" s="1">
        <f t="shared" si="2"/>
        <v>126.06257213866712</v>
      </c>
      <c r="G92" s="2">
        <f t="shared" si="3"/>
        <v>1.643960575501979</v>
      </c>
    </row>
    <row r="93" spans="1:7" ht="15.75" thickTop="1" x14ac:dyDescent="0.25">
      <c r="A93" s="161" t="s">
        <v>91</v>
      </c>
      <c r="B93" s="40" t="s">
        <v>73</v>
      </c>
      <c r="C93">
        <f>C45/C80</f>
        <v>165.35581482282043</v>
      </c>
      <c r="D93">
        <f>D45/D80</f>
        <v>165.63249113112622</v>
      </c>
      <c r="E93">
        <f>E45/E80</f>
        <v>164.09045843179931</v>
      </c>
      <c r="F93" s="1">
        <f t="shared" si="2"/>
        <v>165.02625479524866</v>
      </c>
      <c r="G93" s="2">
        <f t="shared" si="3"/>
        <v>0.67127916213658567</v>
      </c>
    </row>
    <row r="94" spans="1:7" x14ac:dyDescent="0.25">
      <c r="A94" s="162"/>
      <c r="B94" s="38" t="s">
        <v>74</v>
      </c>
      <c r="C94">
        <f>C46/C80</f>
        <v>157.83787099957581</v>
      </c>
      <c r="D94">
        <f>D46/D80</f>
        <v>158.37454933932506</v>
      </c>
      <c r="E94">
        <f>E46/E80</f>
        <v>158.94958424609055</v>
      </c>
      <c r="F94" s="1">
        <f t="shared" si="2"/>
        <v>158.38733486166382</v>
      </c>
      <c r="G94" s="2">
        <f t="shared" si="3"/>
        <v>0.45394506848677285</v>
      </c>
    </row>
    <row r="95" spans="1:7" x14ac:dyDescent="0.25">
      <c r="A95" s="162"/>
      <c r="B95" s="38" t="s">
        <v>75</v>
      </c>
      <c r="C95">
        <f>C47/C80</f>
        <v>158.73577001790738</v>
      </c>
      <c r="D95">
        <f>D47/D80</f>
        <v>159.03671781905894</v>
      </c>
      <c r="E95">
        <f>E47/E80</f>
        <v>159.80487468263215</v>
      </c>
      <c r="F95" s="1">
        <f t="shared" si="2"/>
        <v>159.19245417319948</v>
      </c>
      <c r="G95" s="2">
        <f t="shared" si="3"/>
        <v>0.45013816770321025</v>
      </c>
    </row>
    <row r="96" spans="1:7" x14ac:dyDescent="0.25">
      <c r="A96" s="162"/>
      <c r="B96" s="38" t="s">
        <v>76</v>
      </c>
      <c r="C96">
        <f>C48/C80</f>
        <v>159.39719095984276</v>
      </c>
      <c r="D96">
        <f>D48/D80</f>
        <v>159.53125977300175</v>
      </c>
      <c r="E96">
        <f>E48/E80</f>
        <v>160.43944615012202</v>
      </c>
      <c r="F96" s="1">
        <f t="shared" si="2"/>
        <v>159.78929896098884</v>
      </c>
      <c r="G96" s="2">
        <f t="shared" si="3"/>
        <v>0.46297022029413165</v>
      </c>
    </row>
    <row r="97" spans="1:7" x14ac:dyDescent="0.25">
      <c r="A97" s="162"/>
      <c r="B97" s="38" t="s">
        <v>77</v>
      </c>
      <c r="C97">
        <f>C49/C80</f>
        <v>159.5944505700898</v>
      </c>
      <c r="D97">
        <f>D49/D80</f>
        <v>160.04594764237109</v>
      </c>
      <c r="E97">
        <f>E49/E80</f>
        <v>160.72854850835108</v>
      </c>
      <c r="F97" s="1">
        <f t="shared" si="2"/>
        <v>160.12298224027066</v>
      </c>
      <c r="G97" s="2">
        <f t="shared" si="3"/>
        <v>0.4661868583499405</v>
      </c>
    </row>
    <row r="98" spans="1:7" x14ac:dyDescent="0.25">
      <c r="A98" s="162"/>
      <c r="B98" s="38" t="s">
        <v>78</v>
      </c>
      <c r="C98">
        <f>C50/C80</f>
        <v>160.43090019056964</v>
      </c>
      <c r="D98">
        <f>D50/D80</f>
        <v>160.45296509865622</v>
      </c>
      <c r="E98">
        <f>E50/E80</f>
        <v>161.31868847377416</v>
      </c>
      <c r="F98" s="1">
        <f t="shared" si="2"/>
        <v>160.73418458766668</v>
      </c>
      <c r="G98" s="2">
        <f t="shared" si="3"/>
        <v>0.41340481346841323</v>
      </c>
    </row>
    <row r="99" spans="1:7" x14ac:dyDescent="0.25">
      <c r="A99" s="162"/>
      <c r="B99" s="38" t="s">
        <v>79</v>
      </c>
      <c r="C99">
        <f>C51/C80</f>
        <v>161.49787714006303</v>
      </c>
      <c r="D99">
        <f>D51/D80</f>
        <v>161.38265070670332</v>
      </c>
      <c r="E99">
        <f>E51/E80</f>
        <v>162.28753029874528</v>
      </c>
      <c r="F99" s="1">
        <f t="shared" si="2"/>
        <v>161.72268604850387</v>
      </c>
      <c r="G99" s="2">
        <f t="shared" si="3"/>
        <v>0.40216584722332549</v>
      </c>
    </row>
    <row r="100" spans="1:7" x14ac:dyDescent="0.25">
      <c r="A100" s="162"/>
      <c r="B100" s="38" t="s">
        <v>82</v>
      </c>
      <c r="C100">
        <f>C52/C80</f>
        <v>154.14767547950041</v>
      </c>
      <c r="D100">
        <f>D52/D80</f>
        <v>154.18359801629117</v>
      </c>
      <c r="E100">
        <f>E52/E80</f>
        <v>155.19802287205744</v>
      </c>
      <c r="F100" s="1">
        <f t="shared" si="2"/>
        <v>154.50976545594969</v>
      </c>
      <c r="G100" s="2">
        <f t="shared" si="3"/>
        <v>0.48689239761496478</v>
      </c>
    </row>
    <row r="101" spans="1:7" x14ac:dyDescent="0.25">
      <c r="A101" s="162"/>
      <c r="B101" s="38" t="s">
        <v>83</v>
      </c>
      <c r="C101">
        <f>C53/C80</f>
        <v>148.41969582527824</v>
      </c>
      <c r="D101">
        <f>D53/D80</f>
        <v>148.36607038325403</v>
      </c>
      <c r="E101">
        <f>E53/E80</f>
        <v>149.44828072097036</v>
      </c>
      <c r="F101" s="1">
        <f t="shared" si="2"/>
        <v>148.74468230983419</v>
      </c>
      <c r="G101" s="2">
        <f t="shared" si="3"/>
        <v>0.49800064599895194</v>
      </c>
    </row>
    <row r="102" spans="1:7" x14ac:dyDescent="0.25">
      <c r="A102" s="162"/>
      <c r="B102" s="38" t="s">
        <v>84</v>
      </c>
      <c r="C102">
        <f>C54/C80</f>
        <v>140.8212340031605</v>
      </c>
      <c r="D102">
        <f>D54/D80</f>
        <v>141.44034950659872</v>
      </c>
      <c r="E102">
        <f>E54/E80</f>
        <v>142.251024505034</v>
      </c>
      <c r="F102" s="1">
        <f t="shared" si="2"/>
        <v>141.50420267159777</v>
      </c>
      <c r="G102" s="2">
        <f t="shared" si="3"/>
        <v>0.58545318049195083</v>
      </c>
    </row>
    <row r="103" spans="1:7" x14ac:dyDescent="0.25">
      <c r="A103" s="162"/>
      <c r="B103" s="38" t="s">
        <v>85</v>
      </c>
      <c r="C103">
        <f>C55/C80</f>
        <v>123.3119418106868</v>
      </c>
      <c r="D103">
        <f>D55/D80</f>
        <v>126.72128170862945</v>
      </c>
      <c r="E103">
        <f>E55/E80</f>
        <v>127.27066676013943</v>
      </c>
      <c r="F103" s="1">
        <f t="shared" si="2"/>
        <v>125.76796342648522</v>
      </c>
      <c r="G103" s="2">
        <f t="shared" si="3"/>
        <v>1.7510925383233342</v>
      </c>
    </row>
    <row r="104" spans="1:7" ht="15.75" thickBot="1" x14ac:dyDescent="0.3">
      <c r="A104" s="163"/>
      <c r="B104" s="39" t="s">
        <v>86</v>
      </c>
      <c r="C104">
        <f>C56/C80</f>
        <v>80.764012514936326</v>
      </c>
      <c r="D104">
        <f>D56/D80</f>
        <v>88.295505301277089</v>
      </c>
      <c r="E104">
        <f>E56/E80</f>
        <v>85.777757505380691</v>
      </c>
      <c r="F104" s="1">
        <f t="shared" si="2"/>
        <v>84.945758440531378</v>
      </c>
      <c r="G104" s="2">
        <f t="shared" si="3"/>
        <v>3.1304965240473011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0.76355147197223816</v>
      </c>
      <c r="D106">
        <f>D55/D51</f>
        <v>0.78522245826122039</v>
      </c>
      <c r="E106">
        <f>E55/E51</f>
        <v>0.7842294877853806</v>
      </c>
      <c r="F106" s="1">
        <f t="shared" si="2"/>
        <v>0.7776678060062796</v>
      </c>
      <c r="G106" s="2">
        <f t="shared" si="3"/>
        <v>9.989983734119301E-3</v>
      </c>
    </row>
    <row r="107" spans="1:7" ht="15.75" thickBot="1" x14ac:dyDescent="0.3">
      <c r="A107" s="36"/>
      <c r="B107" s="39" t="s">
        <v>94</v>
      </c>
      <c r="C107">
        <f>(1-C45/C33)*100</f>
        <v>9.6639582280877097</v>
      </c>
      <c r="D107">
        <f>(1-D45/D33)*100</f>
        <v>9.3046744850370562</v>
      </c>
      <c r="E107">
        <f>(1-E45/E33)*100</f>
        <v>8.7698278242905108</v>
      </c>
      <c r="F107" s="1">
        <f t="shared" si="2"/>
        <v>9.2461535124717589</v>
      </c>
      <c r="G107" s="2">
        <f t="shared" si="3"/>
        <v>0.36736523417540634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7.0498024000000001E-3</v>
      </c>
      <c r="D110">
        <f>D16*D21/10^4</f>
        <v>7.0498024000000001E-3</v>
      </c>
      <c r="E110">
        <f>E16*E21/10^4</f>
        <v>7.0498024000000001E-3</v>
      </c>
      <c r="F110" s="1">
        <f t="shared" si="2"/>
        <v>7.0498024000000001E-3</v>
      </c>
      <c r="G110" s="2">
        <f t="shared" si="3"/>
        <v>0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513.16166535391119</v>
      </c>
      <c r="D111">
        <f>D33/D110</f>
        <v>516.88070576276016</v>
      </c>
      <c r="E111">
        <f>E33/E110</f>
        <v>510.96225335337061</v>
      </c>
      <c r="F111" s="1">
        <f t="shared" si="2"/>
        <v>513.66820815668063</v>
      </c>
      <c r="G111" s="2">
        <f t="shared" si="3"/>
        <v>2.442602292478302</v>
      </c>
    </row>
    <row r="112" spans="1:7" x14ac:dyDescent="0.25">
      <c r="A112" s="162"/>
      <c r="B112" s="38" t="s">
        <v>74</v>
      </c>
      <c r="C112">
        <f>C34/C110</f>
        <v>466.50960032581901</v>
      </c>
      <c r="D112">
        <f>D34/D110</f>
        <v>472.38945165328317</v>
      </c>
      <c r="E112">
        <f>E34/E110</f>
        <v>475.25433620664319</v>
      </c>
      <c r="F112" s="1">
        <f t="shared" si="2"/>
        <v>471.38446272858181</v>
      </c>
      <c r="G112" s="2">
        <f t="shared" si="3"/>
        <v>3.6400644188826106</v>
      </c>
    </row>
    <row r="113" spans="1:7" x14ac:dyDescent="0.25">
      <c r="A113" s="162"/>
      <c r="B113" s="38" t="s">
        <v>75</v>
      </c>
      <c r="C113">
        <f>C35/C110</f>
        <v>443.95173402306989</v>
      </c>
      <c r="D113">
        <f>D35/D110</f>
        <v>449.69874049235762</v>
      </c>
      <c r="E113">
        <f>E35/E110</f>
        <v>452.79024558191873</v>
      </c>
      <c r="F113" s="1">
        <f t="shared" si="2"/>
        <v>448.81357336578208</v>
      </c>
      <c r="G113" s="2">
        <f t="shared" si="3"/>
        <v>3.6621908083781052</v>
      </c>
    </row>
    <row r="114" spans="1:7" x14ac:dyDescent="0.25">
      <c r="A114" s="162"/>
      <c r="B114" s="38" t="s">
        <v>76</v>
      </c>
      <c r="C114">
        <f>C36/C110</f>
        <v>446.53457521022148</v>
      </c>
      <c r="D114">
        <f>D36/D110</f>
        <v>451.55276834425882</v>
      </c>
      <c r="E114">
        <f>E36/E110</f>
        <v>455.03153818892855</v>
      </c>
      <c r="F114" s="1">
        <f t="shared" si="2"/>
        <v>451.03962724780291</v>
      </c>
      <c r="G114" s="2">
        <f t="shared" si="3"/>
        <v>3.4877958946430723</v>
      </c>
    </row>
    <row r="115" spans="1:7" x14ac:dyDescent="0.25">
      <c r="A115" s="162"/>
      <c r="B115" s="38" t="s">
        <v>77</v>
      </c>
      <c r="C115">
        <f>C37/C110</f>
        <v>448.23761585147412</v>
      </c>
      <c r="D115">
        <f>D37/D110</f>
        <v>452.89927700668602</v>
      </c>
      <c r="E115">
        <f>E37/E110</f>
        <v>456.67545802418516</v>
      </c>
      <c r="F115" s="1">
        <f t="shared" si="2"/>
        <v>452.60411696078177</v>
      </c>
      <c r="G115" s="2">
        <f t="shared" si="3"/>
        <v>3.4510515037612239</v>
      </c>
    </row>
    <row r="116" spans="1:7" x14ac:dyDescent="0.25">
      <c r="A116" s="162"/>
      <c r="B116" s="38" t="s">
        <v>78</v>
      </c>
      <c r="C116">
        <f>C38/C110</f>
        <v>448.81269154437575</v>
      </c>
      <c r="D116">
        <f>D38/D110</f>
        <v>454.33521938146805</v>
      </c>
      <c r="E116">
        <f>E38/E110</f>
        <v>457.63880559262196</v>
      </c>
      <c r="F116" s="1">
        <f t="shared" si="2"/>
        <v>453.5955721728219</v>
      </c>
      <c r="G116" s="2">
        <f t="shared" si="3"/>
        <v>3.6410054282762596</v>
      </c>
    </row>
    <row r="117" spans="1:7" x14ac:dyDescent="0.25">
      <c r="A117" s="162"/>
      <c r="B117" s="38" t="s">
        <v>79</v>
      </c>
      <c r="C117">
        <f>C39/C110</f>
        <v>453.08745816762183</v>
      </c>
      <c r="D117">
        <f>D39/D110</f>
        <v>457.36488443988162</v>
      </c>
      <c r="E117">
        <f>E39/E110</f>
        <v>461.08179003712218</v>
      </c>
      <c r="F117" s="1">
        <f t="shared" si="2"/>
        <v>457.17804421487517</v>
      </c>
      <c r="G117" s="2">
        <f t="shared" si="3"/>
        <v>3.2663453034635457</v>
      </c>
    </row>
    <row r="118" spans="1:7" x14ac:dyDescent="0.25">
      <c r="A118" s="162"/>
      <c r="B118" s="38" t="s">
        <v>80</v>
      </c>
      <c r="C118">
        <f>C40/C110</f>
        <v>452.44325429603526</v>
      </c>
      <c r="D118">
        <f>D40/D110</f>
        <v>456.51794864491518</v>
      </c>
      <c r="E118">
        <f>E40/E110</f>
        <v>460.33929121190687</v>
      </c>
      <c r="F118" s="1">
        <f t="shared" si="2"/>
        <v>456.43349805095244</v>
      </c>
      <c r="G118" s="2">
        <f t="shared" si="3"/>
        <v>3.2240966353711431</v>
      </c>
    </row>
    <row r="119" spans="1:7" x14ac:dyDescent="0.25">
      <c r="A119" s="162"/>
      <c r="B119" s="38" t="s">
        <v>80</v>
      </c>
      <c r="C119">
        <f>C41/C110</f>
        <v>433.85944689740523</v>
      </c>
      <c r="D119">
        <f>D41/D110</f>
        <v>437.72206863556914</v>
      </c>
      <c r="E119">
        <f>E41/E110</f>
        <v>441.57774124279001</v>
      </c>
      <c r="F119" s="1">
        <f t="shared" si="2"/>
        <v>437.71975225858813</v>
      </c>
      <c r="G119" s="2">
        <f t="shared" si="3"/>
        <v>3.1509808975091547</v>
      </c>
    </row>
    <row r="120" spans="1:7" x14ac:dyDescent="0.25">
      <c r="A120" s="162"/>
      <c r="B120" s="38" t="s">
        <v>80</v>
      </c>
      <c r="C120">
        <f>C42/C110</f>
        <v>417.32056489980482</v>
      </c>
      <c r="D120">
        <f>D42/D110</f>
        <v>420.94962973713984</v>
      </c>
      <c r="E120">
        <f>E42/E110</f>
        <v>425.17503185621206</v>
      </c>
      <c r="F120" s="1">
        <f t="shared" si="2"/>
        <v>421.14840883105222</v>
      </c>
      <c r="G120" s="2">
        <f t="shared" si="3"/>
        <v>3.2096518646581971</v>
      </c>
    </row>
    <row r="121" spans="1:7" x14ac:dyDescent="0.25">
      <c r="A121" s="162"/>
      <c r="B121" s="38" t="s">
        <v>80</v>
      </c>
      <c r="C121">
        <f>C43/C110</f>
        <v>369.82707628798215</v>
      </c>
      <c r="D121">
        <f>D43/D110</f>
        <v>373.24832962694103</v>
      </c>
      <c r="E121">
        <f>E43/E110</f>
        <v>376.48447990542257</v>
      </c>
      <c r="F121" s="1">
        <f t="shared" si="2"/>
        <v>373.18662860678188</v>
      </c>
      <c r="G121" s="2">
        <f t="shared" si="3"/>
        <v>2.718223806494934</v>
      </c>
    </row>
    <row r="122" spans="1:7" ht="15.75" thickBot="1" x14ac:dyDescent="0.3">
      <c r="A122" s="163"/>
      <c r="B122" s="39" t="s">
        <v>80</v>
      </c>
      <c r="C122">
        <f>C44/C110</f>
        <v>346.91862852780105</v>
      </c>
      <c r="D122">
        <f>D44/D110</f>
        <v>359.5830019292456</v>
      </c>
      <c r="E122">
        <f>E44/E110</f>
        <v>361.9009520039881</v>
      </c>
      <c r="F122" s="1">
        <f t="shared" si="2"/>
        <v>356.13419415367827</v>
      </c>
      <c r="G122" s="2">
        <f t="shared" si="3"/>
        <v>6.5847404651910537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463.56993637154994</v>
      </c>
      <c r="D123">
        <f>D45/D110</f>
        <v>468.78663861557311</v>
      </c>
      <c r="E123">
        <f>E45/E110</f>
        <v>466.15174348716494</v>
      </c>
      <c r="F123" s="1">
        <f t="shared" si="2"/>
        <v>466.16943949142933</v>
      </c>
      <c r="G123" s="2">
        <f t="shared" si="3"/>
        <v>2.1297465321995923</v>
      </c>
    </row>
    <row r="124" spans="1:7" x14ac:dyDescent="0.25">
      <c r="A124" s="162"/>
      <c r="B124" s="38" t="s">
        <v>74</v>
      </c>
      <c r="C124">
        <f>C46/C110</f>
        <v>442.49361230323279</v>
      </c>
      <c r="D124">
        <f>D46/D110</f>
        <v>448.24461746615765</v>
      </c>
      <c r="E124">
        <f>E46/E110</f>
        <v>451.5474362799161</v>
      </c>
      <c r="F124" s="1">
        <f t="shared" si="2"/>
        <v>447.42855534976889</v>
      </c>
      <c r="G124" s="2">
        <f t="shared" si="3"/>
        <v>3.7409802800464926</v>
      </c>
    </row>
    <row r="125" spans="1:7" x14ac:dyDescent="0.25">
      <c r="A125" s="162"/>
      <c r="B125" s="38" t="s">
        <v>75</v>
      </c>
      <c r="C125">
        <f>C47/C110</f>
        <v>445.01084455927446</v>
      </c>
      <c r="D125">
        <f>D47/D110</f>
        <v>450.11874091676668</v>
      </c>
      <c r="E125">
        <f>E47/E110</f>
        <v>453.97716395568756</v>
      </c>
      <c r="F125" s="1">
        <f t="shared" si="2"/>
        <v>449.70224981057623</v>
      </c>
      <c r="G125" s="2">
        <f t="shared" si="3"/>
        <v>3.6723125784510997</v>
      </c>
    </row>
    <row r="126" spans="1:7" x14ac:dyDescent="0.25">
      <c r="A126" s="162"/>
      <c r="B126" s="38" t="s">
        <v>76</v>
      </c>
      <c r="C126">
        <f>C48/C110</f>
        <v>446.86511780812464</v>
      </c>
      <c r="D126">
        <f>D48/D110</f>
        <v>451.51843404859119</v>
      </c>
      <c r="E126">
        <f>E48/E110</f>
        <v>455.77986838326132</v>
      </c>
      <c r="F126" s="1">
        <f t="shared" si="2"/>
        <v>451.38780674665901</v>
      </c>
      <c r="G126" s="2">
        <f t="shared" si="3"/>
        <v>3.6406036196609386</v>
      </c>
    </row>
    <row r="127" spans="1:7" x14ac:dyDescent="0.25">
      <c r="A127" s="162"/>
      <c r="B127" s="38" t="s">
        <v>77</v>
      </c>
      <c r="C127">
        <f>C49/C110</f>
        <v>447.41812905280864</v>
      </c>
      <c r="D127">
        <f>D49/D110</f>
        <v>452.97514579983118</v>
      </c>
      <c r="E127">
        <f>E49/E110</f>
        <v>456.60115665085874</v>
      </c>
      <c r="F127" s="1">
        <f t="shared" si="2"/>
        <v>452.33147716783287</v>
      </c>
      <c r="G127" s="2">
        <f t="shared" si="3"/>
        <v>3.7764825739923129</v>
      </c>
    </row>
    <row r="128" spans="1:7" x14ac:dyDescent="0.25">
      <c r="A128" s="162"/>
      <c r="B128" s="38" t="s">
        <v>78</v>
      </c>
      <c r="C128">
        <f>C50/C110</f>
        <v>449.76308981369465</v>
      </c>
      <c r="D128">
        <f>D50/D110</f>
        <v>454.12711993175867</v>
      </c>
      <c r="E128">
        <f>E50/E110</f>
        <v>458.27763910092006</v>
      </c>
      <c r="F128" s="1">
        <f t="shared" si="2"/>
        <v>454.05594961545785</v>
      </c>
      <c r="G128" s="2">
        <f t="shared" si="3"/>
        <v>3.4764144652778337</v>
      </c>
    </row>
    <row r="129" spans="1:7" x14ac:dyDescent="0.25">
      <c r="A129" s="162"/>
      <c r="B129" s="38" t="s">
        <v>79</v>
      </c>
      <c r="C129">
        <f>C51/C110</f>
        <v>452.75432684467864</v>
      </c>
      <c r="D129">
        <f>D51/D110</f>
        <v>456.75839226359028</v>
      </c>
      <c r="E129">
        <f>E51/E110</f>
        <v>461.02994603082777</v>
      </c>
      <c r="F129" s="1">
        <f t="shared" si="2"/>
        <v>456.84755504636558</v>
      </c>
      <c r="G129" s="2">
        <f t="shared" si="3"/>
        <v>3.3790956117393374</v>
      </c>
    </row>
    <row r="130" spans="1:7" x14ac:dyDescent="0.25">
      <c r="A130" s="162"/>
      <c r="B130" s="38" t="s">
        <v>82</v>
      </c>
      <c r="C130">
        <f>C52/C110</f>
        <v>432.14826276549252</v>
      </c>
      <c r="D130">
        <f>D52/D110</f>
        <v>436.38304387084668</v>
      </c>
      <c r="E130">
        <f>E52/E110</f>
        <v>440.88991912737862</v>
      </c>
      <c r="F130" s="1">
        <f t="shared" si="2"/>
        <v>436.47374192123925</v>
      </c>
      <c r="G130" s="2">
        <f t="shared" si="3"/>
        <v>3.5693424781589393</v>
      </c>
    </row>
    <row r="131" spans="1:7" x14ac:dyDescent="0.25">
      <c r="A131" s="162"/>
      <c r="B131" s="38" t="s">
        <v>83</v>
      </c>
      <c r="C131">
        <f>C53/C110</f>
        <v>416.09004814092378</v>
      </c>
      <c r="D131">
        <f>D53/D110</f>
        <v>419.91780081665831</v>
      </c>
      <c r="E131">
        <f>E53/E110</f>
        <v>424.55592656043808</v>
      </c>
      <c r="F131" s="1">
        <f t="shared" si="2"/>
        <v>420.18792517267343</v>
      </c>
      <c r="G131" s="2">
        <f t="shared" si="3"/>
        <v>3.4614543888644933</v>
      </c>
    </row>
    <row r="132" spans="1:7" x14ac:dyDescent="0.25">
      <c r="A132" s="162"/>
      <c r="B132" s="38" t="s">
        <v>84</v>
      </c>
      <c r="C132">
        <f>C54/C110</f>
        <v>394.78799434151512</v>
      </c>
      <c r="D132">
        <f>D54/D110</f>
        <v>400.31605850399433</v>
      </c>
      <c r="E132">
        <f>E54/E110</f>
        <v>404.10980455281981</v>
      </c>
      <c r="F132" s="1">
        <f t="shared" si="2"/>
        <v>399.73795246610979</v>
      </c>
      <c r="G132" s="2">
        <f t="shared" si="3"/>
        <v>3.8275049616493044</v>
      </c>
    </row>
    <row r="133" spans="1:7" x14ac:dyDescent="0.25">
      <c r="A133" s="162"/>
      <c r="B133" s="38" t="s">
        <v>85</v>
      </c>
      <c r="C133">
        <f>C55/C110</f>
        <v>345.70123270405423</v>
      </c>
      <c r="D133">
        <f>D55/D110</f>
        <v>358.65694760465914</v>
      </c>
      <c r="E133">
        <f>E55/E110</f>
        <v>361.5532784294777</v>
      </c>
      <c r="F133" s="1">
        <f t="shared" si="2"/>
        <v>355.30381957939699</v>
      </c>
      <c r="G133" s="2">
        <f t="shared" si="3"/>
        <v>6.892239069445079</v>
      </c>
    </row>
    <row r="134" spans="1:7" ht="15.75" thickBot="1" x14ac:dyDescent="0.3">
      <c r="A134" s="163"/>
      <c r="B134" s="39" t="s">
        <v>86</v>
      </c>
      <c r="C134">
        <f>C56/C110</f>
        <v>226.41942276282805</v>
      </c>
      <c r="D134">
        <f>D56/D110</f>
        <v>249.90116886113006</v>
      </c>
      <c r="E134">
        <f>E56/E110</f>
        <v>243.67931929553089</v>
      </c>
      <c r="F134" s="1">
        <f t="shared" si="2"/>
        <v>239.99997030649629</v>
      </c>
      <c r="G134" s="2">
        <f t="shared" si="3"/>
        <v>9.9331534668372932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DD041</v>
      </c>
      <c r="D137" s="68" t="str">
        <f>D1</f>
        <v>DD042</v>
      </c>
      <c r="E137" s="68" t="str">
        <f>E1</f>
        <v>DD043</v>
      </c>
    </row>
    <row r="138" spans="1:7" ht="14.45" customHeight="1" x14ac:dyDescent="0.25">
      <c r="A138" s="172"/>
      <c r="B138" s="69" t="s">
        <v>100</v>
      </c>
      <c r="C138" s="68">
        <f>C25</f>
        <v>1.9763903999999999E-2</v>
      </c>
      <c r="D138" s="68">
        <f>D25</f>
        <v>1.9952927999999998E-2</v>
      </c>
      <c r="E138" s="68">
        <f>E25</f>
        <v>2.0027231999999996E-2</v>
      </c>
      <c r="F138" s="1">
        <f t="shared" si="2"/>
        <v>1.9914687999999996E-2</v>
      </c>
      <c r="G138" s="2">
        <f t="shared" si="3"/>
        <v>1.1085164890068049E-4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41</v>
      </c>
      <c r="D142" s="68">
        <f>D21</f>
        <v>41</v>
      </c>
      <c r="E142" s="68">
        <f>E21</f>
        <v>41</v>
      </c>
      <c r="F142" s="1">
        <f t="shared" ref="F142:F151" si="4">AVERAGE(C142:E142)</f>
        <v>41</v>
      </c>
      <c r="G142" s="2">
        <f t="shared" ref="G142:G151" si="5">_xlfn.STDEV.P(C142:E142)</f>
        <v>0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>D16</f>
        <v>1.7194640000000001</v>
      </c>
      <c r="E143" s="68">
        <f>E16</f>
        <v>1.7194640000000001</v>
      </c>
      <c r="F143" s="1">
        <f t="shared" si="4"/>
        <v>1.7194640000000001</v>
      </c>
      <c r="G143" s="2">
        <f t="shared" si="5"/>
        <v>0</v>
      </c>
    </row>
    <row r="144" spans="1:7" ht="14.45" customHeight="1" x14ac:dyDescent="0.25">
      <c r="A144" s="172"/>
      <c r="B144" s="69" t="s">
        <v>106</v>
      </c>
      <c r="C144" s="68">
        <f>C22</f>
        <v>119.7314977225461</v>
      </c>
      <c r="D144" s="68">
        <f>D22</f>
        <v>120.87662201709369</v>
      </c>
      <c r="E144" s="68">
        <f>E22</f>
        <v>121.32676229336582</v>
      </c>
      <c r="F144" s="1">
        <f t="shared" si="4"/>
        <v>120.64496067766852</v>
      </c>
      <c r="G144" s="2">
        <f t="shared" si="5"/>
        <v>0.67154920140738872</v>
      </c>
    </row>
    <row r="145" spans="1:7" ht="14.45" customHeight="1" x14ac:dyDescent="0.25">
      <c r="A145" s="172"/>
      <c r="B145" s="69" t="s">
        <v>107</v>
      </c>
      <c r="C145" s="68">
        <f>C24</f>
        <v>34.493485144521742</v>
      </c>
      <c r="D145" s="68">
        <f>D24</f>
        <v>33.866974134144336</v>
      </c>
      <c r="E145" s="68">
        <f>E24</f>
        <v>33.620697078769993</v>
      </c>
      <c r="F145" s="1">
        <f t="shared" si="4"/>
        <v>33.993718785812021</v>
      </c>
      <c r="G145" s="2">
        <f t="shared" si="5"/>
        <v>0.36741249023809958</v>
      </c>
    </row>
    <row r="146" spans="1:7" ht="14.45" customHeight="1" thickBot="1" x14ac:dyDescent="0.3">
      <c r="A146" s="173"/>
      <c r="B146" s="70" t="s">
        <v>108</v>
      </c>
      <c r="C146" s="68">
        <v>145</v>
      </c>
      <c r="D146" s="68">
        <v>145</v>
      </c>
      <c r="E146" s="68">
        <v>145</v>
      </c>
      <c r="F146" s="1">
        <f t="shared" si="4"/>
        <v>145</v>
      </c>
      <c r="G146" s="2">
        <f t="shared" si="5"/>
        <v>0</v>
      </c>
    </row>
    <row r="148" spans="1:7" x14ac:dyDescent="0.25">
      <c r="A148" s="168" t="s">
        <v>109</v>
      </c>
      <c r="B148" s="94" t="s">
        <v>110</v>
      </c>
      <c r="C148" s="97">
        <v>3.31</v>
      </c>
      <c r="D148" s="97">
        <v>3.34</v>
      </c>
      <c r="E148" s="97">
        <v>3.36</v>
      </c>
      <c r="F148" s="1">
        <f t="shared" si="4"/>
        <v>3.3366666666666664</v>
      </c>
      <c r="G148" s="2">
        <f t="shared" si="5"/>
        <v>2.0548046676563177E-2</v>
      </c>
    </row>
    <row r="149" spans="1:7" x14ac:dyDescent="0.25">
      <c r="A149" s="169"/>
      <c r="B149" s="95" t="s">
        <v>111</v>
      </c>
      <c r="C149" s="97">
        <v>3.07</v>
      </c>
      <c r="D149" s="97">
        <v>3.1</v>
      </c>
      <c r="E149" s="97">
        <v>3.13</v>
      </c>
      <c r="F149" s="1">
        <f t="shared" si="4"/>
        <v>3.1</v>
      </c>
      <c r="G149" s="2">
        <f t="shared" si="5"/>
        <v>2.4494897427831803E-2</v>
      </c>
    </row>
    <row r="150" spans="1:7" x14ac:dyDescent="0.25">
      <c r="A150" s="169"/>
      <c r="B150" s="95" t="s">
        <v>112</v>
      </c>
      <c r="C150" s="97">
        <v>3.02</v>
      </c>
      <c r="D150">
        <v>3.06</v>
      </c>
      <c r="E150" s="97">
        <v>3.08</v>
      </c>
      <c r="F150" s="1">
        <f t="shared" si="4"/>
        <v>3.0533333333333332</v>
      </c>
      <c r="G150" s="2">
        <f t="shared" si="5"/>
        <v>2.4944382578492966E-2</v>
      </c>
    </row>
    <row r="151" spans="1:7" ht="15.75" thickBot="1" x14ac:dyDescent="0.3">
      <c r="A151" s="170"/>
      <c r="B151" s="96" t="s">
        <v>113</v>
      </c>
      <c r="C151" s="97">
        <v>3.26</v>
      </c>
      <c r="D151">
        <v>3.29</v>
      </c>
      <c r="E151" s="97">
        <v>3.31</v>
      </c>
      <c r="F151" s="1">
        <f t="shared" si="4"/>
        <v>3.2866666666666666</v>
      </c>
      <c r="G151" s="2">
        <f t="shared" si="5"/>
        <v>2.0548046676563368E-2</v>
      </c>
    </row>
  </sheetData>
  <sortState xmlns:xlrd2="http://schemas.microsoft.com/office/spreadsheetml/2017/richdata2" columnSort="1" ref="C1:G148">
    <sortCondition descending="1" ref="C24:G24"/>
  </sortState>
  <mergeCells count="11">
    <mergeCell ref="A81:A92"/>
    <mergeCell ref="A1:A30"/>
    <mergeCell ref="A33:A44"/>
    <mergeCell ref="A45:A56"/>
    <mergeCell ref="A57:A67"/>
    <mergeCell ref="A68:A78"/>
    <mergeCell ref="A148:A151"/>
    <mergeCell ref="A93:A104"/>
    <mergeCell ref="A111:A122"/>
    <mergeCell ref="A123:A134"/>
    <mergeCell ref="A137:A146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1"/>
  <sheetViews>
    <sheetView zoomScale="85" zoomScaleNormal="85" workbookViewId="0">
      <pane ySplit="1" topLeftCell="A153" activePane="bottomLeft" state="frozen"/>
      <selection pane="bottomLeft" activeCell="A153" sqref="A153:XFD153"/>
    </sheetView>
  </sheetViews>
  <sheetFormatPr defaultRowHeight="15" x14ac:dyDescent="0.25"/>
  <cols>
    <col min="1" max="1" width="14.28515625" customWidth="1"/>
    <col min="2" max="2" width="43.140625" style="27" customWidth="1"/>
    <col min="3" max="5" width="15.2851562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t="s">
        <v>180</v>
      </c>
      <c r="D1" t="s">
        <v>181</v>
      </c>
      <c r="E1" t="s">
        <v>182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</v>
      </c>
      <c r="D5" s="8">
        <v>0.9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t="s">
        <v>183</v>
      </c>
      <c r="D8" t="s">
        <v>184</v>
      </c>
      <c r="E8" t="s">
        <v>185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2.6730400000000001E-2</v>
      </c>
      <c r="D12" s="8">
        <v>2.6914E-2</v>
      </c>
      <c r="E12" s="8">
        <v>2.6402100000000001E-2</v>
      </c>
      <c r="F12" s="1">
        <f t="shared" ref="F12:F25" si="0">AVERAGE(C12:E12)</f>
        <v>2.668216666666667E-2</v>
      </c>
      <c r="G12" s="2">
        <f t="shared" ref="G12:G25" si="1">_xlfn.STDEV.P(C12:E12)</f>
        <v>2.1174708708477849E-4</v>
      </c>
    </row>
    <row r="13" spans="1:7" x14ac:dyDescent="0.25">
      <c r="A13" s="164"/>
      <c r="B13" s="21" t="s">
        <v>49</v>
      </c>
      <c r="C13" s="8">
        <v>52</v>
      </c>
      <c r="D13" s="8">
        <v>52</v>
      </c>
      <c r="E13" s="8">
        <v>51</v>
      </c>
      <c r="F13" s="1">
        <f t="shared" si="0"/>
        <v>51.666666666666664</v>
      </c>
      <c r="G13" s="2">
        <f t="shared" si="1"/>
        <v>0.47140452079103168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2.1160400000000003E-2</v>
      </c>
      <c r="D18" s="11">
        <f t="shared" ref="D18:E18" si="2">D12-D14</f>
        <v>2.1344000000000002E-2</v>
      </c>
      <c r="E18" s="11">
        <f t="shared" si="2"/>
        <v>2.0832099999999999E-2</v>
      </c>
      <c r="F18" s="1">
        <f t="shared" si="0"/>
        <v>2.1112166666666668E-2</v>
      </c>
      <c r="G18" s="2">
        <f t="shared" si="1"/>
        <v>2.1174708708478001E-4</v>
      </c>
    </row>
    <row r="19" spans="1:7" x14ac:dyDescent="0.25">
      <c r="A19" s="164"/>
      <c r="B19" s="23" t="s">
        <v>55</v>
      </c>
      <c r="C19" s="12">
        <f>C18*C10/100*C11</f>
        <v>3.3518073600000005</v>
      </c>
      <c r="D19" s="12">
        <f t="shared" ref="D19:E19" si="3">D18*D10/100*D11</f>
        <v>3.3808896000000006</v>
      </c>
      <c r="E19" s="12">
        <f t="shared" si="3"/>
        <v>3.2998046400000001</v>
      </c>
      <c r="F19" s="1">
        <f t="shared" si="0"/>
        <v>3.3441672000000007</v>
      </c>
      <c r="G19" s="2">
        <f t="shared" si="1"/>
        <v>3.354073859422918E-2</v>
      </c>
    </row>
    <row r="20" spans="1:7" x14ac:dyDescent="0.25">
      <c r="A20" s="164"/>
      <c r="B20" s="23" t="s">
        <v>56</v>
      </c>
      <c r="C20" s="12">
        <f>C19/C16</f>
        <v>1.9493326757640754</v>
      </c>
      <c r="D20" s="12">
        <f t="shared" ref="D20:E20" si="4">D19/D16</f>
        <v>1.966246225567968</v>
      </c>
      <c r="E20" s="12">
        <f t="shared" si="4"/>
        <v>1.9190891114905575</v>
      </c>
      <c r="F20" s="1">
        <f t="shared" si="0"/>
        <v>1.9448893376075338</v>
      </c>
      <c r="G20" s="2">
        <f t="shared" si="1"/>
        <v>1.9506508187568453E-2</v>
      </c>
    </row>
    <row r="21" spans="1:7" x14ac:dyDescent="0.25">
      <c r="A21" s="164"/>
      <c r="B21" s="22" t="s">
        <v>57</v>
      </c>
      <c r="C21" s="13">
        <f>C13-C15</f>
        <v>39</v>
      </c>
      <c r="D21" s="13">
        <f t="shared" ref="D21:E21" si="5">D13-D15</f>
        <v>39</v>
      </c>
      <c r="E21" s="13">
        <f t="shared" si="5"/>
        <v>38</v>
      </c>
      <c r="F21" s="1">
        <f t="shared" si="0"/>
        <v>38.666666666666664</v>
      </c>
      <c r="G21" s="2">
        <f t="shared" si="1"/>
        <v>0.47140452079103168</v>
      </c>
    </row>
    <row r="22" spans="1:7" x14ac:dyDescent="0.25">
      <c r="A22" s="164"/>
      <c r="B22" s="22" t="s">
        <v>58</v>
      </c>
      <c r="C22" s="13">
        <f>C18/(C16/10^4)</f>
        <v>123.06393155076235</v>
      </c>
      <c r="D22" s="13">
        <f t="shared" ref="D22:E22" si="6">D18/(D16/10^4)</f>
        <v>124.13170615959393</v>
      </c>
      <c r="E22" s="13">
        <f t="shared" si="6"/>
        <v>121.15461562440389</v>
      </c>
      <c r="F22" s="1">
        <f t="shared" si="0"/>
        <v>122.78341777825339</v>
      </c>
      <c r="G22" s="2">
        <f t="shared" si="1"/>
        <v>1.2314714764879022</v>
      </c>
    </row>
    <row r="23" spans="1:7" x14ac:dyDescent="0.25">
      <c r="A23" s="164"/>
      <c r="B23" s="22" t="s">
        <v>59</v>
      </c>
      <c r="C23" s="13">
        <f>C18/C16/(C21/10^4)</f>
        <v>3.1554854243785218</v>
      </c>
      <c r="D23" s="13">
        <f t="shared" ref="D23:E23" si="7">D18/D16/(D21/10^4)</f>
        <v>3.1828642605024084</v>
      </c>
      <c r="E23" s="13">
        <f t="shared" si="7"/>
        <v>3.1882793585369438</v>
      </c>
      <c r="F23" s="1">
        <f t="shared" si="0"/>
        <v>3.1755430144726247</v>
      </c>
      <c r="G23" s="2">
        <f t="shared" si="1"/>
        <v>1.4354116992886242E-2</v>
      </c>
    </row>
    <row r="24" spans="1:7" x14ac:dyDescent="0.25">
      <c r="A24" s="164"/>
      <c r="B24" s="22" t="s">
        <v>60</v>
      </c>
      <c r="C24" s="13">
        <f>(1-C23/C17)*100</f>
        <v>29.217464684196457</v>
      </c>
      <c r="D24" s="13">
        <f t="shared" ref="D24:E24" si="8">(1-D23/D17)*100</f>
        <v>28.603314030901561</v>
      </c>
      <c r="E24" s="13">
        <f t="shared" si="8"/>
        <v>28.481844806259669</v>
      </c>
      <c r="F24" s="1">
        <f t="shared" si="0"/>
        <v>28.767541173785897</v>
      </c>
      <c r="G24" s="2">
        <f t="shared" si="1"/>
        <v>0.32198557633212643</v>
      </c>
    </row>
    <row r="25" spans="1:7" x14ac:dyDescent="0.25">
      <c r="A25" s="164"/>
      <c r="B25" s="24" t="s">
        <v>61</v>
      </c>
      <c r="C25" s="14">
        <f>(C18*C10)/100</f>
        <v>2.0313984000000004E-2</v>
      </c>
      <c r="D25" s="14">
        <f t="shared" ref="D25:E25" si="9">(D18*D10)/100</f>
        <v>2.0490240000000003E-2</v>
      </c>
      <c r="E25" s="14">
        <f t="shared" si="9"/>
        <v>1.9998815999999999E-2</v>
      </c>
      <c r="F25" s="1">
        <f t="shared" si="0"/>
        <v>2.026768E-2</v>
      </c>
      <c r="G25" s="2">
        <f t="shared" si="1"/>
        <v>2.0327720360138952E-4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65</v>
      </c>
      <c r="D28" t="s">
        <v>65</v>
      </c>
      <c r="E28" t="s">
        <v>65</v>
      </c>
    </row>
    <row r="29" spans="1:7" x14ac:dyDescent="0.25">
      <c r="A29" s="164"/>
      <c r="B29" s="18" t="s">
        <v>67</v>
      </c>
      <c r="C29" t="s">
        <v>186</v>
      </c>
      <c r="D29" t="s">
        <v>187</v>
      </c>
      <c r="E29" t="s">
        <v>163</v>
      </c>
    </row>
    <row r="30" spans="1:7" x14ac:dyDescent="0.25">
      <c r="A30" s="164"/>
      <c r="B30" s="25" t="s">
        <v>71</v>
      </c>
      <c r="C30">
        <v>3.2829999999999999</v>
      </c>
      <c r="D30">
        <v>3.1760000000000002</v>
      </c>
      <c r="E30">
        <v>3.3010000000000002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3.7128597800000001</v>
      </c>
      <c r="D33" s="76">
        <v>3.7429425699999999</v>
      </c>
      <c r="E33" s="118">
        <v>3.7180503100000002</v>
      </c>
      <c r="F33" s="1">
        <f t="shared" ref="F33:F78" si="10">AVERAGE(C33:E33)</f>
        <v>3.7246175533333332</v>
      </c>
      <c r="G33" s="2">
        <f t="shared" ref="G33:G78" si="11">_xlfn.STDEV.P(C33:E33)</f>
        <v>1.3129866140354182E-2</v>
      </c>
    </row>
    <row r="34" spans="1:7" x14ac:dyDescent="0.25">
      <c r="A34" s="166"/>
      <c r="B34" s="29" t="s">
        <v>74</v>
      </c>
      <c r="C34" s="78">
        <v>3.4105459800000002</v>
      </c>
      <c r="D34" s="79">
        <v>3.4423419399999999</v>
      </c>
      <c r="E34" s="114">
        <v>3.3427096600000001</v>
      </c>
      <c r="F34" s="1">
        <f t="shared" si="10"/>
        <v>3.3985325266666671</v>
      </c>
      <c r="G34" s="2">
        <f t="shared" si="11"/>
        <v>4.1552297170703849E-2</v>
      </c>
    </row>
    <row r="35" spans="1:7" x14ac:dyDescent="0.25">
      <c r="A35" s="166"/>
      <c r="B35" s="29" t="s">
        <v>75</v>
      </c>
      <c r="C35" s="78">
        <v>3.25082987</v>
      </c>
      <c r="D35" s="79">
        <v>3.2823467100000001</v>
      </c>
      <c r="E35" s="114">
        <v>3.1852887299999999</v>
      </c>
      <c r="F35" s="1">
        <f t="shared" si="10"/>
        <v>3.2394884366666665</v>
      </c>
      <c r="G35" s="2">
        <f t="shared" si="11"/>
        <v>4.0427168694340057E-2</v>
      </c>
    </row>
    <row r="36" spans="1:7" x14ac:dyDescent="0.25">
      <c r="A36" s="166"/>
      <c r="B36" s="29" t="s">
        <v>76</v>
      </c>
      <c r="C36" s="78">
        <v>3.2636422399999998</v>
      </c>
      <c r="D36" s="79">
        <v>3.2965468000000002</v>
      </c>
      <c r="E36" s="114">
        <v>3.1983785299999998</v>
      </c>
      <c r="F36" s="1">
        <f t="shared" si="10"/>
        <v>3.2528558566666668</v>
      </c>
      <c r="G36" s="2">
        <f t="shared" si="11"/>
        <v>4.0796338542884378E-2</v>
      </c>
    </row>
    <row r="37" spans="1:7" x14ac:dyDescent="0.25">
      <c r="A37" s="166"/>
      <c r="B37" s="29" t="s">
        <v>77</v>
      </c>
      <c r="C37" s="78">
        <v>3.2731386699999998</v>
      </c>
      <c r="D37" s="79">
        <v>3.3059543699999998</v>
      </c>
      <c r="E37" s="114">
        <v>3.20848588</v>
      </c>
      <c r="F37" s="1">
        <f t="shared" si="10"/>
        <v>3.2625263066666665</v>
      </c>
      <c r="G37" s="2">
        <f t="shared" si="11"/>
        <v>4.0492742784841683E-2</v>
      </c>
    </row>
    <row r="38" spans="1:7" x14ac:dyDescent="0.25">
      <c r="A38" s="166"/>
      <c r="B38" s="29" t="s">
        <v>78</v>
      </c>
      <c r="C38" s="78">
        <v>3.28090232</v>
      </c>
      <c r="D38" s="79">
        <v>3.3139820599999998</v>
      </c>
      <c r="E38" s="114">
        <v>3.2169086500000001</v>
      </c>
      <c r="F38" s="1">
        <f t="shared" si="10"/>
        <v>3.2705976766666667</v>
      </c>
      <c r="G38" s="2">
        <f t="shared" si="11"/>
        <v>4.0294341934713526E-2</v>
      </c>
    </row>
    <row r="39" spans="1:7" x14ac:dyDescent="0.25">
      <c r="A39" s="166"/>
      <c r="B39" s="29" t="s">
        <v>79</v>
      </c>
      <c r="C39" s="78">
        <v>3.3007663800000002</v>
      </c>
      <c r="D39" s="79">
        <v>3.3425140799999999</v>
      </c>
      <c r="E39" s="114">
        <v>3.2382166300000002</v>
      </c>
      <c r="F39" s="1">
        <f t="shared" si="10"/>
        <v>3.2938323633333333</v>
      </c>
      <c r="G39" s="2">
        <f t="shared" si="11"/>
        <v>4.2860626527352771E-2</v>
      </c>
    </row>
    <row r="40" spans="1:7" x14ac:dyDescent="0.25">
      <c r="A40" s="166"/>
      <c r="B40" s="29" t="s">
        <v>80</v>
      </c>
      <c r="C40" s="78">
        <v>3.2940628200000002</v>
      </c>
      <c r="D40" s="79">
        <v>3.3272746899999999</v>
      </c>
      <c r="E40" s="114">
        <v>3.2552934900000001</v>
      </c>
      <c r="F40" s="1">
        <f t="shared" si="10"/>
        <v>3.2922103333333332</v>
      </c>
      <c r="G40" s="2">
        <f t="shared" si="11"/>
        <v>2.9415382240109502E-2</v>
      </c>
    </row>
    <row r="41" spans="1:7" x14ac:dyDescent="0.25">
      <c r="A41" s="166"/>
      <c r="B41" s="29" t="s">
        <v>80</v>
      </c>
      <c r="C41" s="78">
        <v>3.1574269400000001</v>
      </c>
      <c r="D41" s="79">
        <v>3.1897590999999998</v>
      </c>
      <c r="E41" s="114">
        <v>3.0972735500000002</v>
      </c>
      <c r="F41" s="1">
        <f t="shared" si="10"/>
        <v>3.1481531966666672</v>
      </c>
      <c r="G41" s="2">
        <f t="shared" si="11"/>
        <v>3.8322282258585284E-2</v>
      </c>
    </row>
    <row r="42" spans="1:7" x14ac:dyDescent="0.25">
      <c r="A42" s="166"/>
      <c r="B42" s="29" t="s">
        <v>80</v>
      </c>
      <c r="C42" s="78">
        <v>3.03914032</v>
      </c>
      <c r="D42" s="79">
        <v>3.0711455399999998</v>
      </c>
      <c r="E42" s="114">
        <v>2.9775373699999999</v>
      </c>
      <c r="F42" s="1">
        <f t="shared" si="10"/>
        <v>3.0292744099999998</v>
      </c>
      <c r="G42" s="2">
        <f t="shared" si="11"/>
        <v>3.8846917576416118E-2</v>
      </c>
    </row>
    <row r="43" spans="1:7" x14ac:dyDescent="0.25">
      <c r="A43" s="166"/>
      <c r="B43" s="29" t="s">
        <v>80</v>
      </c>
      <c r="C43" s="78">
        <v>2.6927260400000002</v>
      </c>
      <c r="D43" s="79">
        <v>2.7200525199999999</v>
      </c>
      <c r="E43" s="114">
        <v>2.6442512300000001</v>
      </c>
      <c r="F43" s="1">
        <f t="shared" si="10"/>
        <v>2.6856765966666667</v>
      </c>
      <c r="G43" s="2">
        <f t="shared" si="11"/>
        <v>3.1344642071635648E-2</v>
      </c>
    </row>
    <row r="44" spans="1:7" ht="15.75" thickBot="1" x14ac:dyDescent="0.3">
      <c r="A44" s="167"/>
      <c r="B44" s="30" t="s">
        <v>80</v>
      </c>
      <c r="C44" s="81">
        <v>2.57250808</v>
      </c>
      <c r="D44" s="82">
        <v>2.5712916099999998</v>
      </c>
      <c r="E44" s="115">
        <v>2.4961477799999998</v>
      </c>
      <c r="F44" s="1">
        <f t="shared" si="10"/>
        <v>2.5466491566666662</v>
      </c>
      <c r="G44" s="2">
        <f t="shared" si="11"/>
        <v>3.5713319025601993E-2</v>
      </c>
    </row>
    <row r="45" spans="1:7" ht="15.75" thickTop="1" x14ac:dyDescent="0.25">
      <c r="A45" s="165" t="s">
        <v>81</v>
      </c>
      <c r="B45" s="28" t="s">
        <v>73</v>
      </c>
      <c r="C45" s="78">
        <v>3.39640312</v>
      </c>
      <c r="D45" s="79">
        <v>3.4299439199999999</v>
      </c>
      <c r="E45" s="114">
        <v>3.31619676</v>
      </c>
      <c r="F45" s="1">
        <f t="shared" si="10"/>
        <v>3.3808479333333334</v>
      </c>
      <c r="G45" s="2">
        <f t="shared" si="11"/>
        <v>4.772195145627451E-2</v>
      </c>
    </row>
    <row r="46" spans="1:7" x14ac:dyDescent="0.25">
      <c r="A46" s="166"/>
      <c r="B46" s="29" t="s">
        <v>74</v>
      </c>
      <c r="C46" s="78">
        <v>3.2417941799999999</v>
      </c>
      <c r="D46" s="79">
        <v>3.27442301</v>
      </c>
      <c r="E46" s="114">
        <v>3.1798538500000002</v>
      </c>
      <c r="F46" s="1">
        <f t="shared" si="10"/>
        <v>3.2320236799999997</v>
      </c>
      <c r="G46" s="2">
        <f t="shared" si="11"/>
        <v>3.9220985101209013E-2</v>
      </c>
    </row>
    <row r="47" spans="1:7" x14ac:dyDescent="0.25">
      <c r="A47" s="166"/>
      <c r="B47" s="29" t="s">
        <v>75</v>
      </c>
      <c r="C47" s="78">
        <v>3.2544740299999999</v>
      </c>
      <c r="D47" s="79">
        <v>3.28897576</v>
      </c>
      <c r="E47" s="114">
        <v>3.1930391</v>
      </c>
      <c r="F47" s="1">
        <f t="shared" si="10"/>
        <v>3.2454962966666669</v>
      </c>
      <c r="G47" s="2">
        <f t="shared" si="11"/>
        <v>3.9677117291475307E-2</v>
      </c>
    </row>
    <row r="48" spans="1:7" x14ac:dyDescent="0.25">
      <c r="A48" s="166"/>
      <c r="B48" s="29" t="s">
        <v>76</v>
      </c>
      <c r="C48" s="78">
        <v>3.2645212899999998</v>
      </c>
      <c r="D48" s="79">
        <v>3.2988528100000001</v>
      </c>
      <c r="E48" s="114">
        <v>3.2035644799999998</v>
      </c>
      <c r="F48" s="1">
        <f t="shared" si="10"/>
        <v>3.2556461933333334</v>
      </c>
      <c r="G48" s="2">
        <f t="shared" si="11"/>
        <v>3.9404246507022095E-2</v>
      </c>
    </row>
    <row r="49" spans="1:7" x14ac:dyDescent="0.25">
      <c r="A49" s="166"/>
      <c r="B49" s="29" t="s">
        <v>77</v>
      </c>
      <c r="C49" s="78">
        <v>3.2725796100000002</v>
      </c>
      <c r="D49" s="79">
        <v>3.3072017300000001</v>
      </c>
      <c r="E49" s="114">
        <v>3.2122309900000001</v>
      </c>
      <c r="F49" s="1">
        <f t="shared" si="10"/>
        <v>3.2640041100000001</v>
      </c>
      <c r="G49" s="2">
        <f t="shared" si="11"/>
        <v>3.9242959149588419E-2</v>
      </c>
    </row>
    <row r="50" spans="1:7" x14ac:dyDescent="0.25">
      <c r="A50" s="166"/>
      <c r="B50" s="29" t="s">
        <v>78</v>
      </c>
      <c r="C50" s="78">
        <v>3.2794905499999998</v>
      </c>
      <c r="D50" s="79">
        <v>3.3142536499999999</v>
      </c>
      <c r="E50" s="114">
        <v>3.2199071699999999</v>
      </c>
      <c r="F50" s="1">
        <f t="shared" si="10"/>
        <v>3.2712171233333329</v>
      </c>
      <c r="G50" s="2">
        <f t="shared" si="11"/>
        <v>3.8958540045404957E-2</v>
      </c>
    </row>
    <row r="51" spans="1:7" x14ac:dyDescent="0.25">
      <c r="A51" s="166"/>
      <c r="B51" s="29" t="s">
        <v>79</v>
      </c>
      <c r="C51" s="78">
        <v>3.2970178300000001</v>
      </c>
      <c r="D51" s="79">
        <v>3.3319651499999998</v>
      </c>
      <c r="E51" s="114">
        <v>3.23926297</v>
      </c>
      <c r="F51" s="1">
        <f t="shared" si="10"/>
        <v>3.2894153166666666</v>
      </c>
      <c r="G51" s="2">
        <f t="shared" si="11"/>
        <v>3.8225403428660099E-2</v>
      </c>
    </row>
    <row r="52" spans="1:7" x14ac:dyDescent="0.25">
      <c r="A52" s="166"/>
      <c r="B52" s="29" t="s">
        <v>82</v>
      </c>
      <c r="C52" s="78">
        <v>3.1500545</v>
      </c>
      <c r="D52" s="79">
        <v>3.1862833500000001</v>
      </c>
      <c r="E52" s="114">
        <v>3.0957532300000001</v>
      </c>
      <c r="F52" s="1">
        <f t="shared" si="10"/>
        <v>3.1440303599999999</v>
      </c>
      <c r="G52" s="2">
        <f t="shared" si="11"/>
        <v>3.720343491183125E-2</v>
      </c>
    </row>
    <row r="53" spans="1:7" x14ac:dyDescent="0.25">
      <c r="A53" s="166"/>
      <c r="B53" s="29" t="s">
        <v>83</v>
      </c>
      <c r="C53" s="78">
        <v>3.0336083500000002</v>
      </c>
      <c r="D53" s="79">
        <v>3.0677129000000001</v>
      </c>
      <c r="E53" s="114">
        <v>2.9761376099999999</v>
      </c>
      <c r="F53" s="1">
        <f t="shared" si="10"/>
        <v>3.02581962</v>
      </c>
      <c r="G53" s="2">
        <f t="shared" si="11"/>
        <v>3.7788946098964889E-2</v>
      </c>
    </row>
    <row r="54" spans="1:7" x14ac:dyDescent="0.25">
      <c r="A54" s="166"/>
      <c r="B54" s="29" t="s">
        <v>84</v>
      </c>
      <c r="C54" s="78">
        <v>2.8882570599999999</v>
      </c>
      <c r="D54" s="79">
        <v>2.9202048299999999</v>
      </c>
      <c r="E54" s="114">
        <v>2.82623157</v>
      </c>
      <c r="F54" s="1">
        <f t="shared" si="10"/>
        <v>2.8782311533333336</v>
      </c>
      <c r="G54" s="2">
        <f t="shared" si="11"/>
        <v>3.9013950514514041E-2</v>
      </c>
    </row>
    <row r="55" spans="1:7" x14ac:dyDescent="0.25">
      <c r="A55" s="166"/>
      <c r="B55" s="29" t="s">
        <v>85</v>
      </c>
      <c r="C55" s="78">
        <v>2.56813723</v>
      </c>
      <c r="D55" s="79">
        <v>2.5699392799999998</v>
      </c>
      <c r="E55" s="114">
        <v>2.4971523499999999</v>
      </c>
      <c r="F55" s="1">
        <f t="shared" si="10"/>
        <v>2.5450762866666667</v>
      </c>
      <c r="G55" s="2">
        <f t="shared" si="11"/>
        <v>3.389532539327151E-2</v>
      </c>
    </row>
    <row r="56" spans="1:7" ht="15.75" thickBot="1" x14ac:dyDescent="0.3">
      <c r="A56" s="167"/>
      <c r="B56" s="30" t="s">
        <v>86</v>
      </c>
      <c r="C56" s="81">
        <v>1.49395448</v>
      </c>
      <c r="D56" s="82">
        <v>1.28170316</v>
      </c>
      <c r="E56" s="115">
        <v>1.44332719</v>
      </c>
      <c r="F56" s="1">
        <f t="shared" si="10"/>
        <v>1.4063282766666667</v>
      </c>
      <c r="G56" s="2">
        <f t="shared" si="11"/>
        <v>9.0514622764579625E-2</v>
      </c>
    </row>
    <row r="57" spans="1:7" ht="15.75" thickTop="1" x14ac:dyDescent="0.25">
      <c r="A57" s="165" t="s">
        <v>87</v>
      </c>
      <c r="B57" s="31">
        <v>0.9</v>
      </c>
      <c r="C57" s="84">
        <v>18.040982199999998</v>
      </c>
      <c r="D57" s="85">
        <v>16.787053499999999</v>
      </c>
      <c r="E57" s="112">
        <v>17.558829200000002</v>
      </c>
      <c r="F57" s="1">
        <f t="shared" si="10"/>
        <v>17.462288300000001</v>
      </c>
      <c r="G57" s="2">
        <f t="shared" si="11"/>
        <v>0.51644580561147613</v>
      </c>
    </row>
    <row r="58" spans="1:7" x14ac:dyDescent="0.25">
      <c r="A58" s="166"/>
      <c r="B58" s="32">
        <v>0.8</v>
      </c>
      <c r="C58" s="87">
        <v>18.934668599999998</v>
      </c>
      <c r="D58" s="88">
        <v>17.7721321</v>
      </c>
      <c r="E58" s="119">
        <v>18.3070311</v>
      </c>
      <c r="F58" s="1">
        <f t="shared" si="10"/>
        <v>18.337943933333335</v>
      </c>
      <c r="G58" s="2">
        <f t="shared" si="11"/>
        <v>0.4751066412968652</v>
      </c>
    </row>
    <row r="59" spans="1:7" x14ac:dyDescent="0.25">
      <c r="A59" s="166"/>
      <c r="B59" s="32">
        <v>0.7</v>
      </c>
      <c r="C59" s="78">
        <v>20.285198000000001</v>
      </c>
      <c r="D59" s="79">
        <v>19.063439500000001</v>
      </c>
      <c r="E59" s="114">
        <v>19.510935799999999</v>
      </c>
      <c r="F59" s="1">
        <f t="shared" si="10"/>
        <v>19.619857766666666</v>
      </c>
      <c r="G59" s="2">
        <f t="shared" si="11"/>
        <v>0.50469228525737253</v>
      </c>
    </row>
    <row r="60" spans="1:7" x14ac:dyDescent="0.25">
      <c r="A60" s="166"/>
      <c r="B60" s="32">
        <v>0.6</v>
      </c>
      <c r="C60" s="78">
        <v>22.7343154</v>
      </c>
      <c r="D60" s="79">
        <v>21.483543999999998</v>
      </c>
      <c r="E60" s="114">
        <v>21.547991499999998</v>
      </c>
      <c r="F60" s="1">
        <f t="shared" si="10"/>
        <v>21.921950299999995</v>
      </c>
      <c r="G60" s="2">
        <f t="shared" si="11"/>
        <v>0.57503110747017916</v>
      </c>
    </row>
    <row r="61" spans="1:7" x14ac:dyDescent="0.25">
      <c r="A61" s="166"/>
      <c r="B61" s="32">
        <v>0.5</v>
      </c>
      <c r="C61" s="78">
        <v>27.250953299999999</v>
      </c>
      <c r="D61" s="79">
        <v>26.5610271</v>
      </c>
      <c r="E61" s="114">
        <v>25.956451099999999</v>
      </c>
      <c r="F61" s="1">
        <f t="shared" si="10"/>
        <v>26.589477166666665</v>
      </c>
      <c r="G61" s="2">
        <f t="shared" si="11"/>
        <v>0.52886106629952967</v>
      </c>
    </row>
    <row r="62" spans="1:7" x14ac:dyDescent="0.25">
      <c r="A62" s="166"/>
      <c r="B62" s="32">
        <v>0.4</v>
      </c>
      <c r="C62" s="78">
        <v>38.449550799999997</v>
      </c>
      <c r="D62" s="79">
        <v>38.087440000000001</v>
      </c>
      <c r="E62" s="114">
        <v>36.128182500000001</v>
      </c>
      <c r="F62" s="1">
        <f t="shared" si="10"/>
        <v>37.555057766666664</v>
      </c>
      <c r="G62" s="2">
        <f t="shared" si="11"/>
        <v>1.0197257238551811</v>
      </c>
    </row>
    <row r="63" spans="1:7" x14ac:dyDescent="0.25">
      <c r="A63" s="166"/>
      <c r="B63" s="32">
        <v>0.3</v>
      </c>
      <c r="C63" s="78">
        <v>62.4521108</v>
      </c>
      <c r="D63" s="79">
        <v>62.1353857</v>
      </c>
      <c r="E63" s="114">
        <v>60.654989299999997</v>
      </c>
      <c r="F63" s="1">
        <f t="shared" si="10"/>
        <v>61.747495266666668</v>
      </c>
      <c r="G63" s="2">
        <f t="shared" si="11"/>
        <v>0.78326481798695502</v>
      </c>
    </row>
    <row r="64" spans="1:7" x14ac:dyDescent="0.25">
      <c r="A64" s="166"/>
      <c r="B64" s="32">
        <v>0.2</v>
      </c>
      <c r="C64" s="78">
        <v>69.414663899999994</v>
      </c>
      <c r="D64" s="79">
        <v>70.566708899999995</v>
      </c>
      <c r="E64" s="114">
        <v>75.749984600000005</v>
      </c>
      <c r="F64" s="1">
        <f t="shared" si="10"/>
        <v>71.910452466666655</v>
      </c>
      <c r="G64" s="2">
        <f t="shared" si="11"/>
        <v>2.7553955762806792</v>
      </c>
    </row>
    <row r="65" spans="1:7" x14ac:dyDescent="0.25">
      <c r="A65" s="166"/>
      <c r="B65" s="32">
        <v>0.1</v>
      </c>
      <c r="C65" s="78">
        <v>74.915595100000004</v>
      </c>
      <c r="D65" s="79">
        <v>76.506160399999999</v>
      </c>
      <c r="E65" s="114">
        <v>82.011250399999994</v>
      </c>
      <c r="F65" s="1">
        <f t="shared" si="10"/>
        <v>77.811001966666666</v>
      </c>
      <c r="G65" s="2">
        <f t="shared" si="11"/>
        <v>3.0401797830260335</v>
      </c>
    </row>
    <row r="66" spans="1:7" x14ac:dyDescent="0.25">
      <c r="A66" s="166"/>
      <c r="B66" s="32">
        <v>0.5</v>
      </c>
      <c r="C66" s="78">
        <v>14.0733666</v>
      </c>
      <c r="D66" s="79">
        <v>12.961831399999999</v>
      </c>
      <c r="E66" s="114">
        <v>14.354488099999999</v>
      </c>
      <c r="F66" s="1">
        <f t="shared" si="10"/>
        <v>13.796562033333332</v>
      </c>
      <c r="G66" s="2">
        <f t="shared" si="11"/>
        <v>0.6012979001622869</v>
      </c>
    </row>
    <row r="67" spans="1:7" ht="15.75" thickBot="1" x14ac:dyDescent="0.3">
      <c r="A67" s="167"/>
      <c r="B67" s="33">
        <v>0.2</v>
      </c>
      <c r="C67" s="81">
        <v>32.713016799999998</v>
      </c>
      <c r="D67" s="82">
        <v>35.645857700000001</v>
      </c>
      <c r="E67" s="115">
        <v>40.278238700000003</v>
      </c>
      <c r="F67" s="1">
        <f t="shared" si="10"/>
        <v>36.21237106666667</v>
      </c>
      <c r="G67" s="2">
        <f t="shared" si="11"/>
        <v>3.114359072106589</v>
      </c>
    </row>
    <row r="68" spans="1:7" ht="15.75" thickTop="1" x14ac:dyDescent="0.25">
      <c r="A68" s="165" t="s">
        <v>88</v>
      </c>
      <c r="B68" s="31">
        <v>0.9</v>
      </c>
      <c r="C68" s="78">
        <v>18.324122899999999</v>
      </c>
      <c r="D68" s="79">
        <v>17.018959299999999</v>
      </c>
      <c r="E68" s="114">
        <v>17.8460052</v>
      </c>
      <c r="F68" s="1">
        <f t="shared" si="10"/>
        <v>17.729695799999998</v>
      </c>
      <c r="G68" s="2">
        <f t="shared" si="11"/>
        <v>0.53914062054811529</v>
      </c>
    </row>
    <row r="69" spans="1:7" x14ac:dyDescent="0.25">
      <c r="A69" s="166"/>
      <c r="B69" s="32">
        <v>0.8</v>
      </c>
      <c r="C69" s="78">
        <v>19.2031487</v>
      </c>
      <c r="D69" s="79">
        <v>18.069856900000001</v>
      </c>
      <c r="E69" s="114">
        <v>18.5866732</v>
      </c>
      <c r="F69" s="1">
        <f t="shared" si="10"/>
        <v>18.619892933333336</v>
      </c>
      <c r="G69" s="2">
        <f t="shared" si="11"/>
        <v>0.46326035804132326</v>
      </c>
    </row>
    <row r="70" spans="1:7" x14ac:dyDescent="0.25">
      <c r="A70" s="166"/>
      <c r="B70" s="32">
        <v>0.7</v>
      </c>
      <c r="C70" s="78">
        <v>20.576525499999999</v>
      </c>
      <c r="D70" s="79">
        <v>19.288952900000002</v>
      </c>
      <c r="E70" s="114">
        <v>19.762501199999999</v>
      </c>
      <c r="F70" s="1">
        <f t="shared" si="10"/>
        <v>19.8759932</v>
      </c>
      <c r="G70" s="2">
        <f t="shared" si="11"/>
        <v>0.53173999010524453</v>
      </c>
    </row>
    <row r="71" spans="1:7" x14ac:dyDescent="0.25">
      <c r="A71" s="166"/>
      <c r="B71" s="32">
        <v>0.6</v>
      </c>
      <c r="C71" s="78">
        <v>23.210478299999998</v>
      </c>
      <c r="D71" s="79">
        <v>21.829255799999999</v>
      </c>
      <c r="E71" s="114">
        <v>21.907873299999999</v>
      </c>
      <c r="F71" s="1">
        <f t="shared" si="10"/>
        <v>22.315869133333333</v>
      </c>
      <c r="G71" s="2">
        <f t="shared" si="11"/>
        <v>0.63339789950161307</v>
      </c>
    </row>
    <row r="72" spans="1:7" x14ac:dyDescent="0.25">
      <c r="A72" s="166"/>
      <c r="B72" s="32">
        <v>0.5</v>
      </c>
      <c r="C72" s="78">
        <v>28.075919599999999</v>
      </c>
      <c r="D72" s="79">
        <v>27.204681099999998</v>
      </c>
      <c r="E72" s="114">
        <v>26.631536000000001</v>
      </c>
      <c r="F72" s="1">
        <f t="shared" si="10"/>
        <v>27.304045566666662</v>
      </c>
      <c r="G72" s="2">
        <f t="shared" si="11"/>
        <v>0.59383834439697036</v>
      </c>
    </row>
    <row r="73" spans="1:7" x14ac:dyDescent="0.25">
      <c r="A73" s="166"/>
      <c r="B73" s="32">
        <v>0.4</v>
      </c>
      <c r="C73" s="78">
        <v>40.1329621</v>
      </c>
      <c r="D73" s="79">
        <v>39.876584999999999</v>
      </c>
      <c r="E73" s="114">
        <v>37.153936399999999</v>
      </c>
      <c r="F73" s="1">
        <f t="shared" si="10"/>
        <v>39.054494499999997</v>
      </c>
      <c r="G73" s="2">
        <f t="shared" si="11"/>
        <v>1.3479671417750534</v>
      </c>
    </row>
    <row r="74" spans="1:7" x14ac:dyDescent="0.25">
      <c r="A74" s="166"/>
      <c r="B74" s="32">
        <v>0.3</v>
      </c>
      <c r="C74" s="78">
        <v>63.588900199999998</v>
      </c>
      <c r="D74" s="79">
        <v>61.638808400000002</v>
      </c>
      <c r="E74" s="114">
        <v>58.736155099999998</v>
      </c>
      <c r="F74" s="1">
        <f t="shared" si="10"/>
        <v>61.321287899999994</v>
      </c>
      <c r="G74" s="2">
        <f t="shared" si="11"/>
        <v>1.9938067780561035</v>
      </c>
    </row>
    <row r="75" spans="1:7" x14ac:dyDescent="0.25">
      <c r="A75" s="166"/>
      <c r="B75" s="32">
        <v>0.2</v>
      </c>
      <c r="C75" s="78">
        <v>70.5038093</v>
      </c>
      <c r="D75" s="79">
        <v>69.848825599999998</v>
      </c>
      <c r="E75" s="114">
        <v>71.348996799999995</v>
      </c>
      <c r="F75" s="1">
        <f t="shared" si="10"/>
        <v>70.567210566666674</v>
      </c>
      <c r="G75" s="2">
        <f t="shared" si="11"/>
        <v>0.61408099237183189</v>
      </c>
    </row>
    <row r="76" spans="1:7" x14ac:dyDescent="0.25">
      <c r="A76" s="166"/>
      <c r="B76" s="32">
        <v>0.1</v>
      </c>
      <c r="C76" s="78">
        <v>125.71932700000001</v>
      </c>
      <c r="D76" s="79">
        <v>127.087495</v>
      </c>
      <c r="E76" s="114">
        <v>133.38761199999999</v>
      </c>
      <c r="F76" s="1">
        <f t="shared" si="10"/>
        <v>128.73147800000001</v>
      </c>
      <c r="G76" s="2">
        <f t="shared" si="11"/>
        <v>3.3394269756474615</v>
      </c>
    </row>
    <row r="77" spans="1:7" x14ac:dyDescent="0.25">
      <c r="A77" s="166"/>
      <c r="B77" s="32">
        <v>0.5</v>
      </c>
      <c r="C77" s="78">
        <v>14.099855</v>
      </c>
      <c r="D77" s="79">
        <v>12.974281</v>
      </c>
      <c r="E77" s="114">
        <v>14.319516999999999</v>
      </c>
      <c r="F77" s="1">
        <f t="shared" si="10"/>
        <v>13.797884333333334</v>
      </c>
      <c r="G77" s="2">
        <f t="shared" si="11"/>
        <v>0.58923944570909004</v>
      </c>
    </row>
    <row r="78" spans="1:7" ht="15.75" thickBot="1" x14ac:dyDescent="0.3">
      <c r="A78" s="167"/>
      <c r="B78" s="33">
        <v>0.2</v>
      </c>
      <c r="C78" s="81">
        <v>39.413621800000001</v>
      </c>
      <c r="D78" s="82">
        <v>42.985130499999997</v>
      </c>
      <c r="E78" s="115">
        <v>48.564929300000003</v>
      </c>
      <c r="F78" s="1">
        <f t="shared" si="10"/>
        <v>43.654560533333331</v>
      </c>
      <c r="G78" s="2">
        <f t="shared" si="11"/>
        <v>3.7658739284116218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2.0313984000000004E-2</v>
      </c>
      <c r="D80">
        <f t="shared" ref="D80:E80" si="12">D25</f>
        <v>2.0490240000000003E-2</v>
      </c>
      <c r="E80">
        <f t="shared" si="12"/>
        <v>1.9998815999999999E-2</v>
      </c>
      <c r="F80" s="1">
        <f t="shared" ref="F80:F104" si="13">AVERAGE(C80:E80)</f>
        <v>2.026768E-2</v>
      </c>
      <c r="G80" s="2">
        <f t="shared" ref="G80:G104" si="14">_xlfn.STDEV.P(C80:E80)</f>
        <v>2.0327720360138952E-4</v>
      </c>
    </row>
    <row r="81" spans="1:7" ht="15.75" thickTop="1" x14ac:dyDescent="0.25">
      <c r="A81" s="161" t="s">
        <v>90</v>
      </c>
      <c r="B81" s="38" t="s">
        <v>73</v>
      </c>
      <c r="C81">
        <f>C33/C80</f>
        <v>182.77358985809968</v>
      </c>
      <c r="D81">
        <f t="shared" ref="D81:E81" si="15">D33/D80</f>
        <v>182.66953290932656</v>
      </c>
      <c r="E81">
        <f t="shared" si="15"/>
        <v>185.91352158047758</v>
      </c>
      <c r="F81" s="1">
        <f t="shared" si="13"/>
        <v>183.78554811596794</v>
      </c>
      <c r="G81" s="2">
        <f t="shared" si="14"/>
        <v>1.505304013898821</v>
      </c>
    </row>
    <row r="82" spans="1:7" x14ac:dyDescent="0.25">
      <c r="A82" s="162"/>
      <c r="B82" s="38" t="s">
        <v>74</v>
      </c>
      <c r="C82">
        <f>C34/C80</f>
        <v>167.89153619496793</v>
      </c>
      <c r="D82">
        <f t="shared" ref="D82:E82" si="16">D34/D80</f>
        <v>167.99910298756868</v>
      </c>
      <c r="E82">
        <f t="shared" si="16"/>
        <v>167.145378006378</v>
      </c>
      <c r="F82" s="1">
        <f t="shared" si="13"/>
        <v>167.67867239630485</v>
      </c>
      <c r="G82" s="2">
        <f t="shared" si="14"/>
        <v>0.3796444243966608</v>
      </c>
    </row>
    <row r="83" spans="1:7" x14ac:dyDescent="0.25">
      <c r="A83" s="162"/>
      <c r="B83" s="38" t="s">
        <v>75</v>
      </c>
      <c r="C83">
        <f>C35/C80</f>
        <v>160.02916365396368</v>
      </c>
      <c r="D83">
        <f t="shared" ref="D83:E83" si="17">D35/D80</f>
        <v>160.19074007917914</v>
      </c>
      <c r="E83">
        <f t="shared" si="17"/>
        <v>159.27386551283837</v>
      </c>
      <c r="F83" s="1">
        <f t="shared" si="13"/>
        <v>159.83125641532706</v>
      </c>
      <c r="G83" s="2">
        <f t="shared" si="14"/>
        <v>0.39961664874328429</v>
      </c>
    </row>
    <row r="84" spans="1:7" x14ac:dyDescent="0.25">
      <c r="A84" s="162"/>
      <c r="B84" s="38" t="s">
        <v>76</v>
      </c>
      <c r="C84">
        <f>C36/C80</f>
        <v>160.65988040553734</v>
      </c>
      <c r="D84">
        <f t="shared" ref="D84:E84" si="18">D36/D80</f>
        <v>160.88375734007994</v>
      </c>
      <c r="E84">
        <f t="shared" si="18"/>
        <v>159.92839426094025</v>
      </c>
      <c r="F84" s="1">
        <f t="shared" si="13"/>
        <v>160.49067733551917</v>
      </c>
      <c r="G84" s="2">
        <f t="shared" si="14"/>
        <v>0.40796397914807292</v>
      </c>
    </row>
    <row r="85" spans="1:7" x14ac:dyDescent="0.25">
      <c r="A85" s="162"/>
      <c r="B85" s="38" t="s">
        <v>77</v>
      </c>
      <c r="C85">
        <f>C37/C80</f>
        <v>161.12736280583854</v>
      </c>
      <c r="D85">
        <f t="shared" ref="D85:E85" si="19">D37/D80</f>
        <v>161.34288178176533</v>
      </c>
      <c r="E85">
        <f t="shared" si="19"/>
        <v>160.43379168046749</v>
      </c>
      <c r="F85" s="1">
        <f t="shared" si="13"/>
        <v>160.96801208935713</v>
      </c>
      <c r="G85" s="2">
        <f t="shared" si="14"/>
        <v>0.38786225321350354</v>
      </c>
    </row>
    <row r="86" spans="1:7" x14ac:dyDescent="0.25">
      <c r="A86" s="162"/>
      <c r="B86" s="38" t="s">
        <v>78</v>
      </c>
      <c r="C86">
        <f>C38/C80</f>
        <v>161.50954534570863</v>
      </c>
      <c r="D86">
        <f t="shared" ref="D86:E86" si="20">D38/D80</f>
        <v>161.73466294196649</v>
      </c>
      <c r="E86">
        <f t="shared" si="20"/>
        <v>160.85495511334273</v>
      </c>
      <c r="F86" s="1">
        <f t="shared" si="13"/>
        <v>161.36638780033928</v>
      </c>
      <c r="G86" s="2">
        <f t="shared" si="14"/>
        <v>0.37313270921806324</v>
      </c>
    </row>
    <row r="87" spans="1:7" x14ac:dyDescent="0.25">
      <c r="A87" s="162"/>
      <c r="B87" s="38" t="s">
        <v>79</v>
      </c>
      <c r="C87">
        <f>C39/C80</f>
        <v>162.4873968592276</v>
      </c>
      <c r="D87">
        <f t="shared" ref="D87:E87" si="21">D39/D80</f>
        <v>163.12713174662665</v>
      </c>
      <c r="E87">
        <f t="shared" si="21"/>
        <v>161.9204171886976</v>
      </c>
      <c r="F87" s="1">
        <f t="shared" si="13"/>
        <v>162.51164859818394</v>
      </c>
      <c r="G87" s="2">
        <f t="shared" si="14"/>
        <v>0.49293753235832954</v>
      </c>
    </row>
    <row r="88" spans="1:7" x14ac:dyDescent="0.25">
      <c r="A88" s="162"/>
      <c r="B88" s="38" t="s">
        <v>80</v>
      </c>
      <c r="C88">
        <f>C40/C80</f>
        <v>162.1573995529385</v>
      </c>
      <c r="D88">
        <f t="shared" ref="D88:E88" si="22">D40/D80</f>
        <v>162.3833927762681</v>
      </c>
      <c r="E88">
        <f t="shared" si="22"/>
        <v>162.77431073919578</v>
      </c>
      <c r="F88" s="1">
        <f t="shared" si="13"/>
        <v>162.43836768946747</v>
      </c>
      <c r="G88" s="2">
        <f t="shared" si="14"/>
        <v>0.25483528502845437</v>
      </c>
    </row>
    <row r="89" spans="1:7" x14ac:dyDescent="0.25">
      <c r="A89" s="162"/>
      <c r="B89" s="38" t="s">
        <v>80</v>
      </c>
      <c r="C89">
        <f>C41/C80</f>
        <v>155.43120148169851</v>
      </c>
      <c r="D89">
        <f t="shared" ref="D89:E89" si="23">D41/D80</f>
        <v>155.67211999469012</v>
      </c>
      <c r="E89">
        <f t="shared" si="23"/>
        <v>154.8728459724816</v>
      </c>
      <c r="F89" s="1">
        <f t="shared" si="13"/>
        <v>155.32538914962342</v>
      </c>
      <c r="G89" s="2">
        <f t="shared" si="14"/>
        <v>0.33477049636900541</v>
      </c>
    </row>
    <row r="90" spans="1:7" x14ac:dyDescent="0.25">
      <c r="A90" s="162"/>
      <c r="B90" s="38" t="s">
        <v>80</v>
      </c>
      <c r="C90">
        <f>C42/C80</f>
        <v>149.6082856026666</v>
      </c>
      <c r="D90">
        <f t="shared" ref="D90:E90" si="24">D42/D80</f>
        <v>149.88333665198647</v>
      </c>
      <c r="E90">
        <f t="shared" si="24"/>
        <v>148.88568253240592</v>
      </c>
      <c r="F90" s="1">
        <f t="shared" si="13"/>
        <v>149.45910159568632</v>
      </c>
      <c r="G90" s="2">
        <f t="shared" si="14"/>
        <v>0.42072979177695891</v>
      </c>
    </row>
    <row r="91" spans="1:7" x14ac:dyDescent="0.25">
      <c r="A91" s="162"/>
      <c r="B91" s="38" t="s">
        <v>80</v>
      </c>
      <c r="C91">
        <f>C43/C80</f>
        <v>132.55528999136752</v>
      </c>
      <c r="D91">
        <f t="shared" ref="D91:E91" si="25">D43/D80</f>
        <v>132.74869010807095</v>
      </c>
      <c r="E91">
        <f t="shared" si="25"/>
        <v>132.22038894702567</v>
      </c>
      <c r="F91" s="1">
        <f t="shared" si="13"/>
        <v>132.50812301548805</v>
      </c>
      <c r="G91" s="2">
        <f t="shared" si="14"/>
        <v>0.21824156631381067</v>
      </c>
    </row>
    <row r="92" spans="1:7" ht="15.75" thickBot="1" x14ac:dyDescent="0.3">
      <c r="A92" s="163"/>
      <c r="B92" s="39" t="s">
        <v>80</v>
      </c>
      <c r="C92">
        <f>C44/C80</f>
        <v>126.63729970447942</v>
      </c>
      <c r="D92">
        <f t="shared" ref="D92:E92" si="26">D44/D80</f>
        <v>125.48860384260992</v>
      </c>
      <c r="E92">
        <f t="shared" si="26"/>
        <v>124.81477803485966</v>
      </c>
      <c r="F92" s="1">
        <f t="shared" si="13"/>
        <v>125.64689386064966</v>
      </c>
      <c r="G92" s="2">
        <f t="shared" si="14"/>
        <v>0.75241305429782257</v>
      </c>
    </row>
    <row r="93" spans="1:7" ht="15.75" thickTop="1" x14ac:dyDescent="0.25">
      <c r="A93" s="161" t="s">
        <v>91</v>
      </c>
      <c r="B93" s="40" t="s">
        <v>73</v>
      </c>
      <c r="C93">
        <f>C45/C80</f>
        <v>167.19532318229645</v>
      </c>
      <c r="D93">
        <f t="shared" ref="D93:E93" si="27">D45/D80</f>
        <v>167.39403345202396</v>
      </c>
      <c r="E93">
        <f t="shared" si="27"/>
        <v>165.8196545235478</v>
      </c>
      <c r="F93" s="1">
        <f t="shared" si="13"/>
        <v>166.80300371928942</v>
      </c>
      <c r="G93" s="2">
        <f t="shared" si="14"/>
        <v>0.70004912846553935</v>
      </c>
    </row>
    <row r="94" spans="1:7" x14ac:dyDescent="0.25">
      <c r="A94" s="162"/>
      <c r="B94" s="38" t="s">
        <v>74</v>
      </c>
      <c r="C94">
        <f>C46/C80</f>
        <v>159.58436218124419</v>
      </c>
      <c r="D94">
        <f t="shared" ref="D94:E94" si="28">D46/D80</f>
        <v>159.80403401814715</v>
      </c>
      <c r="E94">
        <f t="shared" si="28"/>
        <v>159.00210542464114</v>
      </c>
      <c r="F94" s="1">
        <f t="shared" si="13"/>
        <v>159.46350054134416</v>
      </c>
      <c r="G94" s="2">
        <f t="shared" si="14"/>
        <v>0.33835683261917732</v>
      </c>
    </row>
    <row r="95" spans="1:7" x14ac:dyDescent="0.25">
      <c r="A95" s="162"/>
      <c r="B95" s="38" t="s">
        <v>75</v>
      </c>
      <c r="C95">
        <f>C47/C80</f>
        <v>160.20855534788248</v>
      </c>
      <c r="D95">
        <f t="shared" ref="D95:E95" si="29">D47/D80</f>
        <v>160.51426240004994</v>
      </c>
      <c r="E95">
        <f t="shared" si="29"/>
        <v>159.66140695529177</v>
      </c>
      <c r="F95" s="1">
        <f t="shared" si="13"/>
        <v>160.12807490107471</v>
      </c>
      <c r="G95" s="2">
        <f t="shared" si="14"/>
        <v>0.35279685292643814</v>
      </c>
    </row>
    <row r="96" spans="1:7" x14ac:dyDescent="0.25">
      <c r="A96" s="162"/>
      <c r="B96" s="38" t="s">
        <v>76</v>
      </c>
      <c r="C96">
        <f>C48/C80</f>
        <v>160.70315355176018</v>
      </c>
      <c r="D96">
        <f t="shared" ref="D96:E96" si="30">D48/D80</f>
        <v>160.99629921367438</v>
      </c>
      <c r="E96">
        <f t="shared" si="30"/>
        <v>160.18770711226105</v>
      </c>
      <c r="F96" s="1">
        <f t="shared" si="13"/>
        <v>160.6290532925652</v>
      </c>
      <c r="G96" s="2">
        <f t="shared" si="14"/>
        <v>0.3342388695993494</v>
      </c>
    </row>
    <row r="97" spans="1:7" x14ac:dyDescent="0.25">
      <c r="A97" s="162"/>
      <c r="B97" s="38" t="s">
        <v>77</v>
      </c>
      <c r="C97">
        <f>C49/C80</f>
        <v>161.09984186263017</v>
      </c>
      <c r="D97">
        <f t="shared" ref="D97:E97" si="31">D49/D80</f>
        <v>161.4037575938593</v>
      </c>
      <c r="E97">
        <f t="shared" si="31"/>
        <v>160.62105826664938</v>
      </c>
      <c r="F97" s="1">
        <f t="shared" si="13"/>
        <v>161.04155257437961</v>
      </c>
      <c r="G97" s="2">
        <f t="shared" si="14"/>
        <v>0.32218296049220146</v>
      </c>
    </row>
    <row r="98" spans="1:7" x14ac:dyDescent="0.25">
      <c r="A98" s="162"/>
      <c r="B98" s="38" t="s">
        <v>78</v>
      </c>
      <c r="C98">
        <f>C50/C80</f>
        <v>161.44004790000815</v>
      </c>
      <c r="D98">
        <f t="shared" ref="D98:E98" si="32">D50/D80</f>
        <v>161.74791754513365</v>
      </c>
      <c r="E98">
        <f t="shared" si="32"/>
        <v>161.00488998948737</v>
      </c>
      <c r="F98" s="1">
        <f t="shared" si="13"/>
        <v>161.39761847820972</v>
      </c>
      <c r="G98" s="2">
        <f t="shared" si="14"/>
        <v>0.30481981452221124</v>
      </c>
    </row>
    <row r="99" spans="1:7" x14ac:dyDescent="0.25">
      <c r="A99" s="162"/>
      <c r="B99" s="38" t="s">
        <v>79</v>
      </c>
      <c r="C99">
        <f>C51/C80</f>
        <v>162.30286634074338</v>
      </c>
      <c r="D99">
        <f t="shared" ref="D99:E99" si="33">D51/D80</f>
        <v>162.61230468749997</v>
      </c>
      <c r="E99">
        <f t="shared" si="33"/>
        <v>161.97273728604733</v>
      </c>
      <c r="F99" s="1">
        <f t="shared" si="13"/>
        <v>162.29596943809688</v>
      </c>
      <c r="G99" s="2">
        <f t="shared" si="14"/>
        <v>0.26114783897223964</v>
      </c>
    </row>
    <row r="100" spans="1:7" x14ac:dyDescent="0.25">
      <c r="A100" s="162"/>
      <c r="B100" s="38" t="s">
        <v>82</v>
      </c>
      <c r="C100">
        <f>C52/C80</f>
        <v>155.06827710408749</v>
      </c>
      <c r="D100">
        <f t="shared" ref="D100:E100" si="34">D52/D80</f>
        <v>155.50249045399173</v>
      </c>
      <c r="E100">
        <f t="shared" si="34"/>
        <v>154.79682547206795</v>
      </c>
      <c r="F100" s="1">
        <f t="shared" si="13"/>
        <v>155.12253101004904</v>
      </c>
      <c r="G100" s="2">
        <f t="shared" si="14"/>
        <v>0.29062963993421292</v>
      </c>
    </row>
    <row r="101" spans="1:7" x14ac:dyDescent="0.25">
      <c r="A101" s="162"/>
      <c r="B101" s="38" t="s">
        <v>83</v>
      </c>
      <c r="C101">
        <f>C53/C80</f>
        <v>149.33596235972223</v>
      </c>
      <c r="D101">
        <f t="shared" ref="D101:E101" si="35">D53/D80</f>
        <v>149.71581103979258</v>
      </c>
      <c r="E101">
        <f t="shared" si="35"/>
        <v>148.81569038887102</v>
      </c>
      <c r="F101" s="1">
        <f t="shared" si="13"/>
        <v>149.28915459612861</v>
      </c>
      <c r="G101" s="2">
        <f t="shared" si="14"/>
        <v>0.36896027031225875</v>
      </c>
    </row>
    <row r="102" spans="1:7" x14ac:dyDescent="0.25">
      <c r="A102" s="162"/>
      <c r="B102" s="38" t="s">
        <v>84</v>
      </c>
      <c r="C102">
        <f>C54/C80</f>
        <v>142.18072929465728</v>
      </c>
      <c r="D102">
        <f t="shared" ref="D102:E102" si="36">D54/D80</f>
        <v>142.51686803082831</v>
      </c>
      <c r="E102">
        <f t="shared" si="36"/>
        <v>141.31994464072272</v>
      </c>
      <c r="F102" s="1">
        <f t="shared" si="13"/>
        <v>142.00584732206946</v>
      </c>
      <c r="G102" s="2">
        <f t="shared" si="14"/>
        <v>0.50404641234554415</v>
      </c>
    </row>
    <row r="103" spans="1:7" x14ac:dyDescent="0.25">
      <c r="A103" s="162"/>
      <c r="B103" s="38" t="s">
        <v>85</v>
      </c>
      <c r="C103">
        <f>C55/C80</f>
        <v>126.42213511638089</v>
      </c>
      <c r="D103">
        <f t="shared" ref="D103:E103" si="37">D55/D80</f>
        <v>125.42260510369812</v>
      </c>
      <c r="E103">
        <f t="shared" si="37"/>
        <v>124.86500950856291</v>
      </c>
      <c r="F103" s="1">
        <f t="shared" si="13"/>
        <v>125.56991657621397</v>
      </c>
      <c r="G103" s="2">
        <f t="shared" si="14"/>
        <v>0.64417158277471387</v>
      </c>
    </row>
    <row r="104" spans="1:7" ht="15.75" thickBot="1" x14ac:dyDescent="0.3">
      <c r="A104" s="163"/>
      <c r="B104" s="39" t="s">
        <v>86</v>
      </c>
      <c r="C104">
        <f>C56/C80</f>
        <v>73.543155296371197</v>
      </c>
      <c r="D104">
        <f t="shared" ref="D104:E104" si="38">D56/D80</f>
        <v>62.551886166291844</v>
      </c>
      <c r="E104">
        <f t="shared" si="38"/>
        <v>72.170632001414489</v>
      </c>
      <c r="F104" s="1">
        <f t="shared" si="13"/>
        <v>69.421891154692503</v>
      </c>
      <c r="G104" s="2">
        <f t="shared" si="14"/>
        <v>4.8900362271519171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0.77892731019898664</v>
      </c>
      <c r="D106">
        <f t="shared" ref="D106:E106" si="39">D55/D51</f>
        <v>0.77129836727133838</v>
      </c>
      <c r="E106">
        <f t="shared" si="39"/>
        <v>0.77090139736324026</v>
      </c>
      <c r="F106" s="1">
        <f>AVERAGE(C106:E106)</f>
        <v>0.77370902494452176</v>
      </c>
      <c r="G106" s="2">
        <f>_xlfn.STDEV.P(C106:E106)</f>
        <v>3.6934421185580691E-3</v>
      </c>
    </row>
    <row r="107" spans="1:7" ht="15.75" thickBot="1" x14ac:dyDescent="0.3">
      <c r="A107" s="36"/>
      <c r="B107" s="39" t="s">
        <v>94</v>
      </c>
      <c r="C107">
        <f>(1-C45/C33)*100</f>
        <v>8.5232591250725918</v>
      </c>
      <c r="D107">
        <f t="shared" ref="D107:E107" si="40">(1-D45/D33)*100</f>
        <v>8.3623684880636535</v>
      </c>
      <c r="E107">
        <f t="shared" si="40"/>
        <v>10.808179462208523</v>
      </c>
      <c r="F107" s="1">
        <f>AVERAGE(C107:E107)</f>
        <v>9.231269025114921</v>
      </c>
      <c r="G107" s="2">
        <f>_xlfn.STDEV.P(C107:E107)</f>
        <v>1.1169769750627128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6.7059096000000014E-3</v>
      </c>
      <c r="D110">
        <f t="shared" ref="D110:E110" si="41">D16*D21/10^4</f>
        <v>6.7059096000000014E-3</v>
      </c>
      <c r="E110">
        <f t="shared" si="41"/>
        <v>6.5339632000000012E-3</v>
      </c>
      <c r="F110" s="1">
        <f t="shared" ref="F110:F134" si="42">AVERAGE(C110:E110)</f>
        <v>6.6485941333333347E-3</v>
      </c>
      <c r="G110" s="2">
        <f t="shared" ref="G110:G134" si="43">_xlfn.STDEV.P(C110:E110)</f>
        <v>8.1056310293743151E-5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553.66982280822867</v>
      </c>
      <c r="D111">
        <f t="shared" ref="D111:E111" si="44">D33/D110</f>
        <v>558.15583466857333</v>
      </c>
      <c r="E111">
        <f t="shared" si="44"/>
        <v>569.0344735948313</v>
      </c>
      <c r="F111" s="1">
        <f t="shared" si="42"/>
        <v>560.28671035721106</v>
      </c>
      <c r="G111" s="2">
        <f t="shared" si="43"/>
        <v>6.4510255954064011</v>
      </c>
    </row>
    <row r="112" spans="1:7" x14ac:dyDescent="0.25">
      <c r="A112" s="162"/>
      <c r="B112" s="38" t="s">
        <v>74</v>
      </c>
      <c r="C112">
        <f>C34/C110</f>
        <v>508.58812352615064</v>
      </c>
      <c r="D112">
        <f t="shared" ref="D112:E112" si="45">D34/D110</f>
        <v>513.32960706777192</v>
      </c>
      <c r="E112">
        <f t="shared" si="45"/>
        <v>511.58991222968621</v>
      </c>
      <c r="F112" s="1">
        <f t="shared" si="42"/>
        <v>511.16921427453627</v>
      </c>
      <c r="G112" s="2">
        <f t="shared" si="43"/>
        <v>1.9584273658502764</v>
      </c>
    </row>
    <row r="113" spans="1:7" x14ac:dyDescent="0.25">
      <c r="A113" s="162"/>
      <c r="B113" s="38" t="s">
        <v>75</v>
      </c>
      <c r="C113">
        <f>C35/C110</f>
        <v>484.77090565014464</v>
      </c>
      <c r="D113">
        <f t="shared" ref="D113:E113" si="46">D35/D110</f>
        <v>489.47076620299197</v>
      </c>
      <c r="E113">
        <f t="shared" si="46"/>
        <v>487.49719465821283</v>
      </c>
      <c r="F113" s="1">
        <f t="shared" si="42"/>
        <v>487.24628883711648</v>
      </c>
      <c r="G113" s="2">
        <f t="shared" si="43"/>
        <v>1.9268951886991017</v>
      </c>
    </row>
    <row r="114" spans="1:7" x14ac:dyDescent="0.25">
      <c r="A114" s="162"/>
      <c r="B114" s="38" t="s">
        <v>76</v>
      </c>
      <c r="C114">
        <f>C36/C110</f>
        <v>486.68151446598671</v>
      </c>
      <c r="D114">
        <f t="shared" ref="D114:E114" si="47">D36/D110</f>
        <v>491.58831487975914</v>
      </c>
      <c r="E114">
        <f t="shared" si="47"/>
        <v>489.50054233546945</v>
      </c>
      <c r="F114" s="1">
        <f t="shared" si="42"/>
        <v>489.25679056040508</v>
      </c>
      <c r="G114" s="2">
        <f t="shared" si="43"/>
        <v>2.0105942357148359</v>
      </c>
    </row>
    <row r="115" spans="1:7" x14ac:dyDescent="0.25">
      <c r="A115" s="162"/>
      <c r="B115" s="38" t="s">
        <v>77</v>
      </c>
      <c r="C115">
        <f>C37/C110</f>
        <v>488.09764301027843</v>
      </c>
      <c r="D115">
        <f t="shared" ref="D115:E115" si="48">D37/D110</f>
        <v>492.99119242526012</v>
      </c>
      <c r="E115">
        <f t="shared" si="48"/>
        <v>491.04743656958453</v>
      </c>
      <c r="F115" s="1">
        <f t="shared" si="42"/>
        <v>490.7120906683744</v>
      </c>
      <c r="G115" s="2">
        <f t="shared" si="43"/>
        <v>2.0118066713463896</v>
      </c>
    </row>
    <row r="116" spans="1:7" x14ac:dyDescent="0.25">
      <c r="A116" s="162"/>
      <c r="B116" s="38" t="s">
        <v>78</v>
      </c>
      <c r="C116">
        <f>C38/C110</f>
        <v>489.25537558692997</v>
      </c>
      <c r="D116">
        <f t="shared" ref="D116:E116" si="49">D38/D110</f>
        <v>494.18829922789286</v>
      </c>
      <c r="E116">
        <f t="shared" si="49"/>
        <v>492.33651178200688</v>
      </c>
      <c r="F116" s="1">
        <f t="shared" si="42"/>
        <v>491.9267288656099</v>
      </c>
      <c r="G116" s="2">
        <f t="shared" si="43"/>
        <v>2.034596674334701</v>
      </c>
    </row>
    <row r="117" spans="1:7" x14ac:dyDescent="0.25">
      <c r="A117" s="162"/>
      <c r="B117" s="38" t="s">
        <v>79</v>
      </c>
      <c r="C117">
        <f>C39/C110</f>
        <v>492.21754793712097</v>
      </c>
      <c r="D117">
        <f t="shared" ref="D117:E117" si="50">D39/D110</f>
        <v>498.44305685242153</v>
      </c>
      <c r="E117">
        <f t="shared" si="50"/>
        <v>495.59762289447843</v>
      </c>
      <c r="F117" s="1">
        <f t="shared" si="42"/>
        <v>495.419409228007</v>
      </c>
      <c r="G117" s="2">
        <f t="shared" si="43"/>
        <v>2.5446755388208282</v>
      </c>
    </row>
    <row r="118" spans="1:7" x14ac:dyDescent="0.25">
      <c r="A118" s="162"/>
      <c r="B118" s="38" t="s">
        <v>80</v>
      </c>
      <c r="C118">
        <f>C40/C110</f>
        <v>491.21789831464469</v>
      </c>
      <c r="D118">
        <f t="shared" ref="D118:E118" si="51">D40/D110</f>
        <v>496.17052547204025</v>
      </c>
      <c r="E118">
        <f t="shared" si="51"/>
        <v>498.21117602866195</v>
      </c>
      <c r="F118" s="1">
        <f t="shared" si="42"/>
        <v>495.19986660511563</v>
      </c>
      <c r="G118" s="2">
        <f t="shared" si="43"/>
        <v>2.9363375456847813</v>
      </c>
    </row>
    <row r="119" spans="1:7" x14ac:dyDescent="0.25">
      <c r="A119" s="162"/>
      <c r="B119" s="38" t="s">
        <v>80</v>
      </c>
      <c r="C119">
        <f>C41/C110</f>
        <v>470.84245513837516</v>
      </c>
      <c r="D119">
        <f t="shared" ref="D119:E119" si="52">D41/D110</f>
        <v>475.66389800423184</v>
      </c>
      <c r="E119">
        <f t="shared" si="52"/>
        <v>474.02678209145705</v>
      </c>
      <c r="F119" s="1">
        <f t="shared" si="42"/>
        <v>473.51104507802137</v>
      </c>
      <c r="G119" s="2">
        <f t="shared" si="43"/>
        <v>2.0018435382501392</v>
      </c>
    </row>
    <row r="120" spans="1:7" x14ac:dyDescent="0.25">
      <c r="A120" s="162"/>
      <c r="B120" s="38" t="s">
        <v>80</v>
      </c>
      <c r="C120">
        <f>C42/C110</f>
        <v>453.20329400205446</v>
      </c>
      <c r="D120">
        <f t="shared" ref="D120:E120" si="53">D42/D110</f>
        <v>457.97598285548008</v>
      </c>
      <c r="E120">
        <f t="shared" si="53"/>
        <v>455.701582463764</v>
      </c>
      <c r="F120" s="1">
        <f t="shared" si="42"/>
        <v>455.6269531070995</v>
      </c>
      <c r="G120" s="2">
        <f t="shared" si="43"/>
        <v>1.949156548965117</v>
      </c>
    </row>
    <row r="121" spans="1:7" x14ac:dyDescent="0.25">
      <c r="A121" s="162"/>
      <c r="B121" s="38" t="s">
        <v>80</v>
      </c>
      <c r="C121">
        <f>C43/C110</f>
        <v>401.54523407234711</v>
      </c>
      <c r="D121">
        <f t="shared" ref="D121:E121" si="54">D43/D110</f>
        <v>405.62021891854897</v>
      </c>
      <c r="E121">
        <f t="shared" si="54"/>
        <v>404.69331538322706</v>
      </c>
      <c r="F121" s="1">
        <f t="shared" si="42"/>
        <v>403.95292279137431</v>
      </c>
      <c r="G121" s="2">
        <f t="shared" si="43"/>
        <v>1.7440396147539077</v>
      </c>
    </row>
    <row r="122" spans="1:7" ht="15.75" thickBot="1" x14ac:dyDescent="0.3">
      <c r="A122" s="163"/>
      <c r="B122" s="39" t="s">
        <v>80</v>
      </c>
      <c r="C122">
        <f>C44/C110</f>
        <v>383.61806726413363</v>
      </c>
      <c r="D122">
        <f t="shared" ref="D122:E122" si="55">D44/D110</f>
        <v>383.43666458014872</v>
      </c>
      <c r="E122">
        <f t="shared" si="55"/>
        <v>382.02660523095682</v>
      </c>
      <c r="F122" s="1">
        <f t="shared" si="42"/>
        <v>383.02711235841304</v>
      </c>
      <c r="G122" s="2">
        <f t="shared" si="43"/>
        <v>0.7113309672753273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506.47910911295304</v>
      </c>
      <c r="D123">
        <f t="shared" ref="D123:E123" si="56">D45/D110</f>
        <v>511.48078703595991</v>
      </c>
      <c r="E123">
        <f t="shared" si="56"/>
        <v>507.5322064868684</v>
      </c>
      <c r="F123" s="1">
        <f t="shared" si="42"/>
        <v>508.49736754526049</v>
      </c>
      <c r="G123" s="2">
        <f t="shared" si="43"/>
        <v>2.1529588032675577</v>
      </c>
    </row>
    <row r="124" spans="1:7" x14ac:dyDescent="0.25">
      <c r="A124" s="162"/>
      <c r="B124" s="38" t="s">
        <v>74</v>
      </c>
      <c r="C124">
        <f>C46/C110</f>
        <v>483.42348366879253</v>
      </c>
      <c r="D124">
        <f t="shared" ref="D124:E124" si="57">D46/D110</f>
        <v>488.28916661805272</v>
      </c>
      <c r="E124">
        <f t="shared" si="57"/>
        <v>486.66540546172644</v>
      </c>
      <c r="F124" s="1">
        <f t="shared" si="42"/>
        <v>486.12601858285717</v>
      </c>
      <c r="G124" s="2">
        <f t="shared" si="43"/>
        <v>2.0226914898228276</v>
      </c>
    </row>
    <row r="125" spans="1:7" x14ac:dyDescent="0.25">
      <c r="A125" s="162"/>
      <c r="B125" s="38" t="s">
        <v>75</v>
      </c>
      <c r="C125">
        <f>C47/C110</f>
        <v>485.31433081054348</v>
      </c>
      <c r="D125">
        <f t="shared" ref="D125:E125" si="58">D47/D110</f>
        <v>490.45930473026351</v>
      </c>
      <c r="E125">
        <f t="shared" si="58"/>
        <v>488.68336142450261</v>
      </c>
      <c r="F125" s="1">
        <f t="shared" si="42"/>
        <v>488.15233232176985</v>
      </c>
      <c r="G125" s="2">
        <f t="shared" si="43"/>
        <v>2.1337264881909732</v>
      </c>
    </row>
    <row r="126" spans="1:7" x14ac:dyDescent="0.25">
      <c r="A126" s="162"/>
      <c r="B126" s="38" t="s">
        <v>76</v>
      </c>
      <c r="C126">
        <f>C48/C110</f>
        <v>486.81260033687289</v>
      </c>
      <c r="D126">
        <f t="shared" ref="D126:E126" si="59">D48/D110</f>
        <v>491.93219216674191</v>
      </c>
      <c r="E126">
        <f t="shared" si="59"/>
        <v>490.29423367428808</v>
      </c>
      <c r="F126" s="1">
        <f t="shared" si="42"/>
        <v>489.67967539263435</v>
      </c>
      <c r="G126" s="2">
        <f t="shared" si="43"/>
        <v>2.134762521886584</v>
      </c>
    </row>
    <row r="127" spans="1:7" x14ac:dyDescent="0.25">
      <c r="A127" s="162"/>
      <c r="B127" s="38" t="s">
        <v>77</v>
      </c>
      <c r="C127">
        <f>C49/C110</f>
        <v>488.01427475252569</v>
      </c>
      <c r="D127">
        <f t="shared" ref="D127:E127" si="60">D49/D110</f>
        <v>493.17720149403732</v>
      </c>
      <c r="E127">
        <f t="shared" si="60"/>
        <v>491.62061243320125</v>
      </c>
      <c r="F127" s="1">
        <f t="shared" si="42"/>
        <v>490.93736289325471</v>
      </c>
      <c r="G127" s="2">
        <f t="shared" si="43"/>
        <v>2.1624177186553304</v>
      </c>
    </row>
    <row r="128" spans="1:7" x14ac:dyDescent="0.25">
      <c r="A128" s="162"/>
      <c r="B128" s="38" t="s">
        <v>78</v>
      </c>
      <c r="C128">
        <f>C50/C110</f>
        <v>489.04484933706817</v>
      </c>
      <c r="D128">
        <f t="shared" ref="D128:E128" si="61">D50/D110</f>
        <v>494.22879932649244</v>
      </c>
      <c r="E128">
        <f t="shared" si="61"/>
        <v>492.79542468191426</v>
      </c>
      <c r="F128" s="1">
        <f t="shared" si="42"/>
        <v>492.02302444849164</v>
      </c>
      <c r="G128" s="2">
        <f t="shared" si="43"/>
        <v>2.1856785313576288</v>
      </c>
    </row>
    <row r="129" spans="1:7" x14ac:dyDescent="0.25">
      <c r="A129" s="162"/>
      <c r="B129" s="38" t="s">
        <v>79</v>
      </c>
      <c r="C129">
        <f>C51/C110</f>
        <v>491.65855591014821</v>
      </c>
      <c r="D129">
        <f t="shared" ref="D129:E129" si="62">D51/D110</f>
        <v>496.86997719146098</v>
      </c>
      <c r="E129">
        <f t="shared" si="62"/>
        <v>495.75776153743863</v>
      </c>
      <c r="F129" s="1">
        <f t="shared" si="42"/>
        <v>494.76209821301592</v>
      </c>
      <c r="G129" s="2">
        <f t="shared" si="43"/>
        <v>2.2410171849006764</v>
      </c>
    </row>
    <row r="130" spans="1:7" x14ac:dyDescent="0.25">
      <c r="A130" s="162"/>
      <c r="B130" s="38" t="s">
        <v>82</v>
      </c>
      <c r="C130">
        <f>C52/C110</f>
        <v>469.74306065802011</v>
      </c>
      <c r="D130">
        <f t="shared" ref="D130:E130" si="63">D52/D110</f>
        <v>475.14558651372209</v>
      </c>
      <c r="E130">
        <f t="shared" si="63"/>
        <v>473.79410248285444</v>
      </c>
      <c r="F130" s="1">
        <f t="shared" si="42"/>
        <v>472.89424988486553</v>
      </c>
      <c r="G130" s="2">
        <f t="shared" si="43"/>
        <v>2.295520627797047</v>
      </c>
    </row>
    <row r="131" spans="1:7" x14ac:dyDescent="0.25">
      <c r="A131" s="162"/>
      <c r="B131" s="38" t="s">
        <v>83</v>
      </c>
      <c r="C131">
        <f>C53/C110</f>
        <v>452.37835445917727</v>
      </c>
      <c r="D131">
        <f t="shared" ref="D131:E131" si="64">D53/D110</f>
        <v>457.46410002306015</v>
      </c>
      <c r="E131">
        <f t="shared" si="64"/>
        <v>455.48735413753161</v>
      </c>
      <c r="F131" s="1">
        <f t="shared" si="42"/>
        <v>455.10993620658968</v>
      </c>
      <c r="G131" s="2">
        <f t="shared" si="43"/>
        <v>2.0933283236807307</v>
      </c>
    </row>
    <row r="132" spans="1:7" x14ac:dyDescent="0.25">
      <c r="A132" s="162"/>
      <c r="B132" s="38" t="s">
        <v>84</v>
      </c>
      <c r="C132">
        <f>C54/C110</f>
        <v>430.70325016012731</v>
      </c>
      <c r="D132">
        <f t="shared" ref="D132:E132" si="65">D54/D110</f>
        <v>435.46737194309912</v>
      </c>
      <c r="E132">
        <f t="shared" si="65"/>
        <v>432.54476394969589</v>
      </c>
      <c r="F132" s="1">
        <f t="shared" si="42"/>
        <v>432.90512868430739</v>
      </c>
      <c r="G132" s="2">
        <f t="shared" si="43"/>
        <v>1.9615658961163946</v>
      </c>
    </row>
    <row r="133" spans="1:7" x14ac:dyDescent="0.25">
      <c r="A133" s="162"/>
      <c r="B133" s="38" t="s">
        <v>85</v>
      </c>
      <c r="C133">
        <f>C55/C110</f>
        <v>382.96627649140981</v>
      </c>
      <c r="D133">
        <f t="shared" ref="D133:E133" si="66">D55/D110</f>
        <v>383.23500215392096</v>
      </c>
      <c r="E133">
        <f t="shared" si="66"/>
        <v>382.18035112288351</v>
      </c>
      <c r="F133" s="1">
        <f t="shared" si="42"/>
        <v>382.79387658940476</v>
      </c>
      <c r="G133" s="2">
        <f t="shared" si="43"/>
        <v>0.44748444589401026</v>
      </c>
    </row>
    <row r="134" spans="1:7" ht="15.75" thickBot="1" x14ac:dyDescent="0.3">
      <c r="A134" s="163"/>
      <c r="B134" s="39" t="s">
        <v>86</v>
      </c>
      <c r="C134">
        <f>C56/C110</f>
        <v>222.78178041648513</v>
      </c>
      <c r="D134">
        <f t="shared" ref="D134:E134" si="67">D56/D110</f>
        <v>191.13039638947708</v>
      </c>
      <c r="E134">
        <f t="shared" si="67"/>
        <v>220.89613085056857</v>
      </c>
      <c r="F134" s="1">
        <f t="shared" si="42"/>
        <v>211.6027692188436</v>
      </c>
      <c r="G134" s="2">
        <f t="shared" si="43"/>
        <v>14.49660777606951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DD023</v>
      </c>
      <c r="D137" s="68" t="str">
        <f>D1</f>
        <v>DD024</v>
      </c>
      <c r="E137" s="68" t="str">
        <f>E1</f>
        <v>DD025</v>
      </c>
    </row>
    <row r="138" spans="1:7" ht="14.45" customHeight="1" x14ac:dyDescent="0.25">
      <c r="A138" s="172"/>
      <c r="B138" s="69" t="s">
        <v>100</v>
      </c>
      <c r="C138" s="68">
        <f>C25</f>
        <v>2.0313984000000004E-2</v>
      </c>
      <c r="D138" s="68">
        <f t="shared" ref="D138:E138" si="68">D25</f>
        <v>2.0490240000000003E-2</v>
      </c>
      <c r="E138" s="68">
        <f t="shared" si="68"/>
        <v>1.9998815999999999E-2</v>
      </c>
      <c r="F138" s="1">
        <f>AVERAGE(C138:E138)</f>
        <v>2.026768E-2</v>
      </c>
      <c r="G138" s="2">
        <f>_xlfn.STDEV.P(C138:E138)</f>
        <v>2.0327720360138952E-4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39</v>
      </c>
      <c r="D142" s="68">
        <f t="shared" ref="D142:E142" si="69">D21</f>
        <v>39</v>
      </c>
      <c r="E142" s="68">
        <f t="shared" si="69"/>
        <v>38</v>
      </c>
      <c r="F142" s="1">
        <f>AVERAGE(C142:E142)</f>
        <v>38.666666666666664</v>
      </c>
      <c r="G142" s="2">
        <f>_xlfn.STDEV.P(C142:E142)</f>
        <v>0.47140452079103168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 t="shared" ref="D143:E143" si="70">D16</f>
        <v>1.7194640000000001</v>
      </c>
      <c r="E143" s="68">
        <f t="shared" si="70"/>
        <v>1.7194640000000001</v>
      </c>
      <c r="F143" s="1">
        <f>AVERAGE(C143:E143)</f>
        <v>1.7194640000000001</v>
      </c>
      <c r="G143" s="2">
        <f>_xlfn.STDEV.P(C143:E143)</f>
        <v>0</v>
      </c>
    </row>
    <row r="144" spans="1:7" ht="14.45" customHeight="1" x14ac:dyDescent="0.25">
      <c r="A144" s="172"/>
      <c r="B144" s="69" t="s">
        <v>106</v>
      </c>
      <c r="C144" s="68">
        <f>C22</f>
        <v>123.06393155076235</v>
      </c>
      <c r="D144" s="68">
        <f t="shared" ref="D144:E144" si="71">D22</f>
        <v>124.13170615959393</v>
      </c>
      <c r="E144" s="68">
        <f t="shared" si="71"/>
        <v>121.15461562440389</v>
      </c>
      <c r="F144" s="1">
        <f>AVERAGE(C144:E144)</f>
        <v>122.78341777825339</v>
      </c>
      <c r="G144" s="2">
        <f>_xlfn.STDEV.P(C144:E144)</f>
        <v>1.2314714764879022</v>
      </c>
    </row>
    <row r="145" spans="1:7" ht="14.45" customHeight="1" x14ac:dyDescent="0.25">
      <c r="A145" s="172"/>
      <c r="B145" s="69" t="s">
        <v>107</v>
      </c>
      <c r="C145" s="68">
        <f>C24</f>
        <v>29.217464684196457</v>
      </c>
      <c r="D145" s="68">
        <f t="shared" ref="D145:E145" si="72">D24</f>
        <v>28.603314030901561</v>
      </c>
      <c r="E145" s="68">
        <f t="shared" si="72"/>
        <v>28.481844806259669</v>
      </c>
      <c r="F145" s="1">
        <f>AVERAGE(C145:E145)</f>
        <v>28.767541173785897</v>
      </c>
      <c r="G145" s="2">
        <f>_xlfn.STDEV.P(C145:E145)</f>
        <v>0.32198557633212643</v>
      </c>
    </row>
    <row r="146" spans="1:7" ht="14.45" customHeight="1" thickBot="1" x14ac:dyDescent="0.3">
      <c r="A146" s="173"/>
      <c r="B146" s="70" t="s">
        <v>108</v>
      </c>
      <c r="C146" s="68">
        <v>145</v>
      </c>
      <c r="D146" s="68">
        <v>145</v>
      </c>
      <c r="E146" s="68">
        <v>145</v>
      </c>
      <c r="F146" s="1">
        <f>AVERAGE(C146:E146)</f>
        <v>145</v>
      </c>
      <c r="G146" s="2">
        <f>_xlfn.STDEV.P(C146:E146)</f>
        <v>0</v>
      </c>
    </row>
    <row r="148" spans="1:7" x14ac:dyDescent="0.25">
      <c r="A148" s="168" t="s">
        <v>109</v>
      </c>
      <c r="B148" s="94" t="s">
        <v>110</v>
      </c>
      <c r="C148" s="97">
        <v>3.41</v>
      </c>
      <c r="D148" s="97">
        <v>3.44</v>
      </c>
      <c r="E148" s="97">
        <v>3.35</v>
      </c>
      <c r="F148" s="1">
        <f>AVERAGE(C148:E148)</f>
        <v>3.4</v>
      </c>
      <c r="G148" s="2">
        <f>_xlfn.STDEV.P(C148:E148)</f>
        <v>3.7416573867739368E-2</v>
      </c>
    </row>
    <row r="149" spans="1:7" x14ac:dyDescent="0.25">
      <c r="A149" s="169"/>
      <c r="B149" s="95" t="s">
        <v>111</v>
      </c>
      <c r="C149" s="97">
        <v>3.17</v>
      </c>
      <c r="D149" s="97">
        <v>3.2</v>
      </c>
      <c r="E149" s="97">
        <v>3.11</v>
      </c>
      <c r="F149" s="1">
        <f>AVERAGE(C149:E149)</f>
        <v>3.16</v>
      </c>
      <c r="G149" s="2">
        <f>_xlfn.STDEV.P(C149:E149)</f>
        <v>3.7416573867739521E-2</v>
      </c>
    </row>
    <row r="150" spans="1:7" x14ac:dyDescent="0.25">
      <c r="A150" s="169"/>
      <c r="B150" s="95" t="s">
        <v>112</v>
      </c>
      <c r="C150" s="97">
        <v>3.11</v>
      </c>
      <c r="D150" s="97">
        <v>3.14</v>
      </c>
      <c r="E150" s="97">
        <v>3.05</v>
      </c>
      <c r="F150" s="1">
        <f>AVERAGE(C150:E150)</f>
        <v>3.1</v>
      </c>
      <c r="G150" s="2">
        <f>_xlfn.STDEV.P(C150:E150)</f>
        <v>3.7416573867739521E-2</v>
      </c>
    </row>
    <row r="151" spans="1:7" ht="15.75" thickBot="1" x14ac:dyDescent="0.3">
      <c r="A151" s="170"/>
      <c r="B151" s="96" t="s">
        <v>113</v>
      </c>
      <c r="C151" s="97">
        <v>3.34</v>
      </c>
      <c r="D151" s="97">
        <v>3.37</v>
      </c>
      <c r="E151" s="97">
        <v>3.28</v>
      </c>
      <c r="F151" s="1">
        <f>AVERAGE(C151:E151)</f>
        <v>3.33</v>
      </c>
      <c r="G151" s="2">
        <f>_xlfn.STDEV.P(C151:E151)</f>
        <v>3.7416573867739521E-2</v>
      </c>
    </row>
  </sheetData>
  <mergeCells count="11">
    <mergeCell ref="A81:A92"/>
    <mergeCell ref="A1:A30"/>
    <mergeCell ref="A33:A44"/>
    <mergeCell ref="A45:A56"/>
    <mergeCell ref="A57:A67"/>
    <mergeCell ref="A68:A78"/>
    <mergeCell ref="A148:A151"/>
    <mergeCell ref="A137:A146"/>
    <mergeCell ref="A93:A104"/>
    <mergeCell ref="A111:A122"/>
    <mergeCell ref="A123:A1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1"/>
  <sheetViews>
    <sheetView zoomScale="70" zoomScaleNormal="70" workbookViewId="0">
      <pane ySplit="1" topLeftCell="A142" activePane="bottomLeft" state="frozen"/>
      <selection pane="bottomLeft" activeCell="C173" sqref="C173"/>
    </sheetView>
  </sheetViews>
  <sheetFormatPr defaultRowHeight="15" x14ac:dyDescent="0.25"/>
  <cols>
    <col min="1" max="1" width="14.28515625" customWidth="1"/>
    <col min="2" max="2" width="43.140625" style="27" customWidth="1"/>
    <col min="3" max="5" width="15.2851562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t="s">
        <v>188</v>
      </c>
      <c r="D1" t="s">
        <v>189</v>
      </c>
      <c r="E1" t="s">
        <v>190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0.87</v>
      </c>
      <c r="D5" s="8">
        <v>0.9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t="s">
        <v>191</v>
      </c>
      <c r="D8" t="s">
        <v>192</v>
      </c>
      <c r="E8" t="s">
        <v>193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3.6401700000000002E-2</v>
      </c>
      <c r="D12" s="8">
        <v>3.6787300000000002E-2</v>
      </c>
      <c r="E12" s="8">
        <v>3.6389499999999998E-2</v>
      </c>
      <c r="F12" s="1">
        <f>AVERAGE(C12:E12)</f>
        <v>3.6526166666666665E-2</v>
      </c>
      <c r="G12" s="2">
        <f>_xlfn.STDEV.P(C12:E12)</f>
        <v>1.8471631101653119E-4</v>
      </c>
    </row>
    <row r="13" spans="1:7" x14ac:dyDescent="0.25">
      <c r="A13" s="164"/>
      <c r="B13" s="21" t="s">
        <v>49</v>
      </c>
      <c r="C13" s="8">
        <v>80</v>
      </c>
      <c r="D13" s="8">
        <v>80</v>
      </c>
      <c r="E13" s="8">
        <v>79</v>
      </c>
      <c r="F13" s="1">
        <f t="shared" ref="F13:F76" si="0">AVERAGE(C13:E13)</f>
        <v>79.666666666666671</v>
      </c>
      <c r="G13" s="2">
        <f t="shared" ref="G13:G76" si="1">_xlfn.STDEV.P(C13:E13)</f>
        <v>0.47140452079103168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3.0831700000000004E-2</v>
      </c>
      <c r="D18" s="11">
        <f>D12-D14</f>
        <v>3.1217300000000003E-2</v>
      </c>
      <c r="E18" s="11">
        <f>E12-E14</f>
        <v>3.08195E-2</v>
      </c>
      <c r="F18" s="1">
        <f t="shared" si="0"/>
        <v>3.095616666666667E-2</v>
      </c>
      <c r="G18" s="2">
        <f t="shared" si="1"/>
        <v>1.8471631101653119E-4</v>
      </c>
    </row>
    <row r="19" spans="1:7" x14ac:dyDescent="0.25">
      <c r="A19" s="164"/>
      <c r="B19" s="23" t="s">
        <v>55</v>
      </c>
      <c r="C19" s="12">
        <f>C18*C10/100*C11</f>
        <v>4.8837412800000006</v>
      </c>
      <c r="D19" s="12">
        <f>D18*D10/100*D11</f>
        <v>4.9448203200000007</v>
      </c>
      <c r="E19" s="12">
        <f>E18*E10/100*E11</f>
        <v>4.8818087999999999</v>
      </c>
      <c r="F19" s="1">
        <f t="shared" si="0"/>
        <v>4.9034567999999998</v>
      </c>
      <c r="G19" s="2">
        <f t="shared" si="1"/>
        <v>2.9259063665018608E-2</v>
      </c>
    </row>
    <row r="20" spans="1:7" x14ac:dyDescent="0.25">
      <c r="A20" s="164"/>
      <c r="B20" s="23" t="s">
        <v>56</v>
      </c>
      <c r="C20" s="12">
        <f>C19/C16</f>
        <v>2.8402695723783693</v>
      </c>
      <c r="D20" s="12">
        <f>D19/D16</f>
        <v>2.8757917118357814</v>
      </c>
      <c r="E20" s="12">
        <f>E19/E16</f>
        <v>2.8391456872606811</v>
      </c>
      <c r="F20" s="1">
        <f t="shared" si="0"/>
        <v>2.8517356571582773</v>
      </c>
      <c r="G20" s="2">
        <f t="shared" si="1"/>
        <v>1.7016386307022662E-2</v>
      </c>
    </row>
    <row r="21" spans="1:7" x14ac:dyDescent="0.25">
      <c r="A21" s="164"/>
      <c r="B21" s="22" t="s">
        <v>57</v>
      </c>
      <c r="C21" s="13">
        <f>C13-C15</f>
        <v>67</v>
      </c>
      <c r="D21" s="13">
        <f>D13-D15</f>
        <v>67</v>
      </c>
      <c r="E21" s="13">
        <f>E13-E15</f>
        <v>66</v>
      </c>
      <c r="F21" s="1">
        <f t="shared" si="0"/>
        <v>66.666666666666671</v>
      </c>
      <c r="G21" s="2">
        <f t="shared" si="1"/>
        <v>0.47140452079103168</v>
      </c>
    </row>
    <row r="22" spans="1:7" x14ac:dyDescent="0.25">
      <c r="A22" s="164"/>
      <c r="B22" s="22" t="s">
        <v>58</v>
      </c>
      <c r="C22" s="13">
        <f>C18/(C16/10^4)</f>
        <v>179.30994775115968</v>
      </c>
      <c r="D22" s="13">
        <f>D18/(D16/10^4)</f>
        <v>181.55250706033976</v>
      </c>
      <c r="E22" s="13">
        <f>E18/(E16/10^4)</f>
        <v>179.2389954078713</v>
      </c>
      <c r="F22" s="1">
        <f t="shared" si="0"/>
        <v>180.03381673979024</v>
      </c>
      <c r="G22" s="2">
        <f t="shared" si="1"/>
        <v>1.0742668123120436</v>
      </c>
    </row>
    <row r="23" spans="1:7" x14ac:dyDescent="0.25">
      <c r="A23" s="164"/>
      <c r="B23" s="22" t="s">
        <v>59</v>
      </c>
      <c r="C23" s="13">
        <f>C18/C16/(C21/10^4)</f>
        <v>2.6762678768829802</v>
      </c>
      <c r="D23" s="13">
        <f>D18/D16/(D21/10^4)</f>
        <v>2.7097389113483543</v>
      </c>
      <c r="E23" s="13">
        <f>E18/E16/(E21/10^4)</f>
        <v>2.7157423546647164</v>
      </c>
      <c r="F23" s="1">
        <f t="shared" si="0"/>
        <v>2.700583047632017</v>
      </c>
      <c r="G23" s="2">
        <f t="shared" si="1"/>
        <v>1.7367229280636626E-2</v>
      </c>
    </row>
    <row r="24" spans="1:7" x14ac:dyDescent="0.25">
      <c r="A24" s="164"/>
      <c r="B24" s="22" t="s">
        <v>60</v>
      </c>
      <c r="C24" s="13">
        <f>(1-C23/C17)*100</f>
        <v>39.967073196882453</v>
      </c>
      <c r="D24" s="13">
        <f>(1-D23/D17)*100</f>
        <v>39.216264886757422</v>
      </c>
      <c r="E24" s="13">
        <f>(1-E23/E17)*100</f>
        <v>39.081598145699502</v>
      </c>
      <c r="F24" s="1">
        <f t="shared" si="0"/>
        <v>39.421645409779792</v>
      </c>
      <c r="G24" s="2">
        <f t="shared" si="1"/>
        <v>0.3895744567213214</v>
      </c>
    </row>
    <row r="25" spans="1:7" x14ac:dyDescent="0.25">
      <c r="A25" s="164"/>
      <c r="B25" s="24" t="s">
        <v>61</v>
      </c>
      <c r="C25" s="14">
        <f>(C18*C10)/100</f>
        <v>2.9598432000000004E-2</v>
      </c>
      <c r="D25" s="14">
        <f>(D18*D10)/100</f>
        <v>2.9968608000000004E-2</v>
      </c>
      <c r="E25" s="14">
        <f>(E18*E10)/100</f>
        <v>2.958672E-2</v>
      </c>
      <c r="F25" s="1">
        <f t="shared" si="0"/>
        <v>2.9717920000000005E-2</v>
      </c>
      <c r="G25" s="2">
        <f t="shared" si="1"/>
        <v>1.7732765857586999E-4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141</v>
      </c>
      <c r="D28" t="s">
        <v>65</v>
      </c>
      <c r="E28" t="s">
        <v>65</v>
      </c>
    </row>
    <row r="29" spans="1:7" x14ac:dyDescent="0.25">
      <c r="A29" s="164"/>
      <c r="B29" s="18" t="s">
        <v>67</v>
      </c>
      <c r="C29" t="s">
        <v>143</v>
      </c>
      <c r="D29" t="s">
        <v>178</v>
      </c>
      <c r="E29" t="s">
        <v>194</v>
      </c>
    </row>
    <row r="30" spans="1:7" x14ac:dyDescent="0.25">
      <c r="A30" s="164"/>
      <c r="B30" s="25" t="s">
        <v>71</v>
      </c>
      <c r="C30">
        <v>3.234</v>
      </c>
      <c r="D30">
        <v>3.2690000000000001</v>
      </c>
      <c r="E30">
        <v>3.226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5.4131449500000004</v>
      </c>
      <c r="D33" s="76">
        <v>5.4545924899999996</v>
      </c>
      <c r="E33" s="77">
        <v>5.3915172900000004</v>
      </c>
      <c r="F33" s="1">
        <f t="shared" si="0"/>
        <v>5.4197515766666662</v>
      </c>
      <c r="G33" s="2">
        <f t="shared" si="1"/>
        <v>2.6170668704926205E-2</v>
      </c>
    </row>
    <row r="34" spans="1:7" x14ac:dyDescent="0.25">
      <c r="A34" s="166"/>
      <c r="B34" s="29" t="s">
        <v>74</v>
      </c>
      <c r="C34" s="78">
        <v>4.8976640099999997</v>
      </c>
      <c r="D34" s="79">
        <v>4.9676398700000002</v>
      </c>
      <c r="E34" s="80">
        <v>4.8997693299999998</v>
      </c>
      <c r="F34" s="1">
        <f t="shared" si="0"/>
        <v>4.9216910699999996</v>
      </c>
      <c r="G34" s="2">
        <f t="shared" si="1"/>
        <v>3.2502074386676912E-2</v>
      </c>
    </row>
    <row r="35" spans="1:7" x14ac:dyDescent="0.25">
      <c r="A35" s="166"/>
      <c r="B35" s="29" t="s">
        <v>75</v>
      </c>
      <c r="C35" s="78">
        <v>4.6647546999999996</v>
      </c>
      <c r="D35" s="79">
        <v>4.7231109800000004</v>
      </c>
      <c r="E35" s="80">
        <v>4.6583316799999999</v>
      </c>
      <c r="F35" s="1">
        <f t="shared" si="0"/>
        <v>4.6820657866666666</v>
      </c>
      <c r="G35" s="2">
        <f t="shared" si="1"/>
        <v>2.9141547869072432E-2</v>
      </c>
    </row>
    <row r="36" spans="1:7" x14ac:dyDescent="0.25">
      <c r="A36" s="166"/>
      <c r="B36" s="29" t="s">
        <v>76</v>
      </c>
      <c r="C36" s="78">
        <v>4.6829224600000003</v>
      </c>
      <c r="D36" s="79">
        <v>4.74537254</v>
      </c>
      <c r="E36" s="80">
        <v>4.68488974</v>
      </c>
      <c r="F36" s="1">
        <f t="shared" si="0"/>
        <v>4.704394913333334</v>
      </c>
      <c r="G36" s="2">
        <f t="shared" si="1"/>
        <v>2.8986686174565551E-2</v>
      </c>
    </row>
    <row r="37" spans="1:7" x14ac:dyDescent="0.25">
      <c r="A37" s="166"/>
      <c r="B37" s="29" t="s">
        <v>77</v>
      </c>
      <c r="C37" s="78">
        <v>4.69105331</v>
      </c>
      <c r="D37" s="79">
        <v>4.7600996499999999</v>
      </c>
      <c r="E37" s="80">
        <v>4.7006426399999999</v>
      </c>
      <c r="F37" s="1">
        <f t="shared" si="0"/>
        <v>4.7172651999999999</v>
      </c>
      <c r="G37" s="2">
        <f t="shared" si="1"/>
        <v>3.0540480159553237E-2</v>
      </c>
    </row>
    <row r="38" spans="1:7" x14ac:dyDescent="0.25">
      <c r="A38" s="166"/>
      <c r="B38" s="29" t="s">
        <v>78</v>
      </c>
      <c r="C38" s="78">
        <v>4.7051279399999997</v>
      </c>
      <c r="D38" s="79">
        <v>4.7749040300000001</v>
      </c>
      <c r="E38" s="80">
        <v>4.7149328700000002</v>
      </c>
      <c r="F38" s="1">
        <f t="shared" si="0"/>
        <v>4.7316549466666666</v>
      </c>
      <c r="G38" s="2">
        <f t="shared" si="1"/>
        <v>3.0842574146315378E-2</v>
      </c>
    </row>
    <row r="39" spans="1:7" x14ac:dyDescent="0.25">
      <c r="A39" s="166"/>
      <c r="B39" s="29" t="s">
        <v>79</v>
      </c>
      <c r="C39" s="78">
        <v>4.7405854600000001</v>
      </c>
      <c r="D39" s="79">
        <v>4.8100545500000003</v>
      </c>
      <c r="E39" s="80">
        <v>4.7465438200000003</v>
      </c>
      <c r="F39" s="1">
        <f t="shared" si="0"/>
        <v>4.7657279433333342</v>
      </c>
      <c r="G39" s="2">
        <f t="shared" si="1"/>
        <v>3.1437891759344971E-2</v>
      </c>
    </row>
    <row r="40" spans="1:7" x14ac:dyDescent="0.25">
      <c r="A40" s="166"/>
      <c r="B40" s="29" t="s">
        <v>80</v>
      </c>
      <c r="C40" s="78">
        <v>4.7293009599999998</v>
      </c>
      <c r="D40" s="79">
        <v>4.8007123299999996</v>
      </c>
      <c r="E40" s="80">
        <v>4.7382396</v>
      </c>
      <c r="F40" s="1">
        <f t="shared" si="0"/>
        <v>4.7560842966666668</v>
      </c>
      <c r="G40" s="2">
        <f t="shared" si="1"/>
        <v>3.1767077723782136E-2</v>
      </c>
    </row>
    <row r="41" spans="1:7" x14ac:dyDescent="0.25">
      <c r="A41" s="166"/>
      <c r="B41" s="29" t="s">
        <v>80</v>
      </c>
      <c r="C41" s="78">
        <v>4.5267837899999996</v>
      </c>
      <c r="D41" s="79">
        <v>4.5778079099999998</v>
      </c>
      <c r="E41" s="80">
        <v>4.5299674799999998</v>
      </c>
      <c r="F41" s="1">
        <f t="shared" si="0"/>
        <v>4.5448530600000003</v>
      </c>
      <c r="G41" s="2">
        <f t="shared" si="1"/>
        <v>2.3338817085075257E-2</v>
      </c>
    </row>
    <row r="42" spans="1:7" x14ac:dyDescent="0.25">
      <c r="A42" s="166"/>
      <c r="B42" s="29" t="s">
        <v>80</v>
      </c>
      <c r="C42" s="78">
        <v>4.27872129</v>
      </c>
      <c r="D42" s="79">
        <v>4.27648589</v>
      </c>
      <c r="E42" s="80">
        <v>4.2377945500000003</v>
      </c>
      <c r="F42" s="1">
        <f t="shared" si="0"/>
        <v>4.2643339100000004</v>
      </c>
      <c r="G42" s="2">
        <f t="shared" si="1"/>
        <v>1.8788338141822496E-2</v>
      </c>
    </row>
    <row r="43" spans="1:7" x14ac:dyDescent="0.25">
      <c r="A43" s="166"/>
      <c r="B43" s="29" t="s">
        <v>80</v>
      </c>
      <c r="C43" s="78">
        <v>3.8688602900000002</v>
      </c>
      <c r="D43" s="79">
        <v>3.9310626599999998</v>
      </c>
      <c r="E43" s="80">
        <v>3.8764513200000001</v>
      </c>
      <c r="F43" s="1">
        <f t="shared" si="0"/>
        <v>3.8921247566666666</v>
      </c>
      <c r="G43" s="2">
        <f t="shared" si="1"/>
        <v>2.7707113059191366E-2</v>
      </c>
    </row>
    <row r="44" spans="1:7" ht="15.75" thickBot="1" x14ac:dyDescent="0.3">
      <c r="A44" s="167"/>
      <c r="B44" s="30" t="s">
        <v>80</v>
      </c>
      <c r="C44" s="81">
        <v>0.85253677000000005</v>
      </c>
      <c r="D44" s="82">
        <v>0.42197264000000001</v>
      </c>
      <c r="E44" s="83">
        <v>0.14685502</v>
      </c>
      <c r="F44" s="1">
        <f t="shared" si="0"/>
        <v>0.47378814333333336</v>
      </c>
      <c r="G44" s="2">
        <f t="shared" si="1"/>
        <v>0.29041386314480083</v>
      </c>
    </row>
    <row r="45" spans="1:7" ht="15.75" thickTop="1" x14ac:dyDescent="0.25">
      <c r="A45" s="165" t="s">
        <v>81</v>
      </c>
      <c r="B45" s="28" t="s">
        <v>73</v>
      </c>
      <c r="C45" s="78">
        <v>4.8690581399999999</v>
      </c>
      <c r="D45" s="79">
        <v>4.9559230300000001</v>
      </c>
      <c r="E45" s="80">
        <v>4.8816055199999999</v>
      </c>
      <c r="F45" s="1">
        <f t="shared" si="0"/>
        <v>4.9021955633333336</v>
      </c>
      <c r="G45" s="2">
        <f t="shared" si="1"/>
        <v>3.8334837872179603E-2</v>
      </c>
    </row>
    <row r="46" spans="1:7" x14ac:dyDescent="0.25">
      <c r="A46" s="166"/>
      <c r="B46" s="29" t="s">
        <v>74</v>
      </c>
      <c r="C46" s="78">
        <v>4.6503065299999999</v>
      </c>
      <c r="D46" s="79">
        <v>4.7160881999999997</v>
      </c>
      <c r="E46" s="80">
        <v>4.6479991399999996</v>
      </c>
      <c r="F46" s="1">
        <f t="shared" si="0"/>
        <v>4.6714646233333328</v>
      </c>
      <c r="G46" s="2">
        <f t="shared" si="1"/>
        <v>3.1567691374224507E-2</v>
      </c>
    </row>
    <row r="47" spans="1:7" x14ac:dyDescent="0.25">
      <c r="A47" s="166"/>
      <c r="B47" s="29" t="s">
        <v>75</v>
      </c>
      <c r="C47" s="78">
        <v>4.66889325</v>
      </c>
      <c r="D47" s="79">
        <v>4.7383032600000003</v>
      </c>
      <c r="E47" s="80">
        <v>4.6735219900000002</v>
      </c>
      <c r="F47" s="1">
        <f t="shared" si="0"/>
        <v>4.6935728333333335</v>
      </c>
      <c r="G47" s="2">
        <f t="shared" si="1"/>
        <v>3.1685586742591594E-2</v>
      </c>
    </row>
    <row r="48" spans="1:7" x14ac:dyDescent="0.25">
      <c r="A48" s="166"/>
      <c r="B48" s="29" t="s">
        <v>76</v>
      </c>
      <c r="C48" s="78">
        <v>4.6770848000000003</v>
      </c>
      <c r="D48" s="79">
        <v>4.7534319099999998</v>
      </c>
      <c r="E48" s="80">
        <v>4.6900618999999999</v>
      </c>
      <c r="F48" s="1">
        <f t="shared" si="0"/>
        <v>4.7068595366666663</v>
      </c>
      <c r="G48" s="2">
        <f t="shared" si="1"/>
        <v>3.3355067076602879E-2</v>
      </c>
    </row>
    <row r="49" spans="1:7" x14ac:dyDescent="0.25">
      <c r="A49" s="166"/>
      <c r="B49" s="29" t="s">
        <v>77</v>
      </c>
      <c r="C49" s="78">
        <v>4.6908329799999997</v>
      </c>
      <c r="D49" s="79">
        <v>4.7685118600000003</v>
      </c>
      <c r="E49" s="80">
        <v>4.7047203199999998</v>
      </c>
      <c r="F49" s="1">
        <f t="shared" si="0"/>
        <v>4.7213550533333333</v>
      </c>
      <c r="G49" s="2">
        <f t="shared" si="1"/>
        <v>3.3823442209183437E-2</v>
      </c>
    </row>
    <row r="50" spans="1:7" x14ac:dyDescent="0.25">
      <c r="A50" s="166"/>
      <c r="B50" s="29" t="s">
        <v>78</v>
      </c>
      <c r="C50" s="78">
        <v>4.7031292100000002</v>
      </c>
      <c r="D50" s="79">
        <v>4.7819574600000001</v>
      </c>
      <c r="E50" s="80">
        <v>4.7169320900000002</v>
      </c>
      <c r="F50" s="1">
        <f t="shared" si="0"/>
        <v>4.7340062533333338</v>
      </c>
      <c r="G50" s="2">
        <f t="shared" si="1"/>
        <v>3.4371679618213101E-2</v>
      </c>
    </row>
    <row r="51" spans="1:7" x14ac:dyDescent="0.25">
      <c r="A51" s="166"/>
      <c r="B51" s="29" t="s">
        <v>79</v>
      </c>
      <c r="C51" s="78">
        <v>4.7367726000000001</v>
      </c>
      <c r="D51" s="79">
        <v>4.8158437300000001</v>
      </c>
      <c r="E51" s="80">
        <v>4.7472127999999998</v>
      </c>
      <c r="F51" s="1">
        <f t="shared" si="0"/>
        <v>4.76660971</v>
      </c>
      <c r="G51" s="2">
        <f t="shared" si="1"/>
        <v>3.5073646213173652E-2</v>
      </c>
    </row>
    <row r="52" spans="1:7" x14ac:dyDescent="0.25">
      <c r="A52" s="166"/>
      <c r="B52" s="29" t="s">
        <v>82</v>
      </c>
      <c r="C52" s="78">
        <v>4.5089067600000003</v>
      </c>
      <c r="D52" s="79">
        <v>4.57663055</v>
      </c>
      <c r="E52" s="80">
        <v>4.5207506500000001</v>
      </c>
      <c r="F52" s="1">
        <f t="shared" si="0"/>
        <v>4.5354293199999995</v>
      </c>
      <c r="G52" s="2">
        <f t="shared" si="1"/>
        <v>2.9532190885175766E-2</v>
      </c>
    </row>
    <row r="53" spans="1:7" x14ac:dyDescent="0.25">
      <c r="A53" s="166"/>
      <c r="B53" s="29" t="s">
        <v>83</v>
      </c>
      <c r="C53" s="78">
        <v>4.2667789699999998</v>
      </c>
      <c r="D53" s="79">
        <v>4.27408053</v>
      </c>
      <c r="E53" s="80">
        <v>4.2121722899999998</v>
      </c>
      <c r="F53" s="1">
        <f t="shared" si="0"/>
        <v>4.2510105966666663</v>
      </c>
      <c r="G53" s="2">
        <f t="shared" si="1"/>
        <v>2.7624128862993882E-2</v>
      </c>
    </row>
    <row r="54" spans="1:7" x14ac:dyDescent="0.25">
      <c r="A54" s="166"/>
      <c r="B54" s="29" t="s">
        <v>84</v>
      </c>
      <c r="C54" s="78">
        <v>3.5731347100000002</v>
      </c>
      <c r="D54" s="79">
        <v>3.4820352099999998</v>
      </c>
      <c r="E54" s="80">
        <v>3.1866169900000001</v>
      </c>
      <c r="F54" s="1">
        <f t="shared" si="0"/>
        <v>3.4139289700000002</v>
      </c>
      <c r="G54" s="2">
        <f t="shared" si="1"/>
        <v>0.16498046735639704</v>
      </c>
    </row>
    <row r="55" spans="1:7" x14ac:dyDescent="0.25">
      <c r="A55" s="166"/>
      <c r="B55" s="29" t="s">
        <v>85</v>
      </c>
      <c r="C55" s="78">
        <v>0.85004588000000003</v>
      </c>
      <c r="D55" s="105">
        <v>0.41853309</v>
      </c>
      <c r="E55" s="106">
        <v>0.14242144000000001</v>
      </c>
      <c r="F55" s="1">
        <f t="shared" si="0"/>
        <v>0.47033347000000009</v>
      </c>
      <c r="G55" s="2">
        <f t="shared" si="1"/>
        <v>0.29119929778696996</v>
      </c>
    </row>
    <row r="56" spans="1:7" ht="15.75" thickBot="1" x14ac:dyDescent="0.3">
      <c r="A56" s="167"/>
      <c r="B56" s="30" t="s">
        <v>86</v>
      </c>
      <c r="C56" s="90">
        <v>2.6245999999999999E-5</v>
      </c>
      <c r="D56" s="107">
        <v>2.6733999999999998E-5</v>
      </c>
      <c r="E56" s="108">
        <v>2.6336999999999999E-5</v>
      </c>
      <c r="F56" s="1">
        <f t="shared" si="0"/>
        <v>2.6438999999999999E-5</v>
      </c>
      <c r="G56" s="2">
        <f t="shared" si="1"/>
        <v>2.1187889622769554E-7</v>
      </c>
    </row>
    <row r="57" spans="1:7" ht="15.75" thickTop="1" x14ac:dyDescent="0.25">
      <c r="A57" s="165" t="s">
        <v>87</v>
      </c>
      <c r="B57" s="31">
        <v>0.9</v>
      </c>
      <c r="C57" s="84">
        <v>86.397341800000007</v>
      </c>
      <c r="D57" s="85">
        <v>97.210798600000004</v>
      </c>
      <c r="E57" s="86">
        <v>115.955444</v>
      </c>
      <c r="F57" s="1">
        <f t="shared" si="0"/>
        <v>99.854528133333346</v>
      </c>
      <c r="G57" s="2">
        <f t="shared" si="1"/>
        <v>12.210987696892047</v>
      </c>
    </row>
    <row r="58" spans="1:7" x14ac:dyDescent="0.25">
      <c r="A58" s="166"/>
      <c r="B58" s="32">
        <v>0.8</v>
      </c>
      <c r="C58" s="87">
        <v>89.082991699999994</v>
      </c>
      <c r="D58" s="88">
        <v>98.470923900000003</v>
      </c>
      <c r="E58" s="89">
        <v>118.04782</v>
      </c>
      <c r="F58" s="1">
        <f t="shared" si="0"/>
        <v>101.8672452</v>
      </c>
      <c r="G58" s="2">
        <f t="shared" si="1"/>
        <v>12.06624958004064</v>
      </c>
    </row>
    <row r="59" spans="1:7" x14ac:dyDescent="0.25">
      <c r="A59" s="166"/>
      <c r="B59" s="32">
        <v>0.7</v>
      </c>
      <c r="C59" s="78">
        <v>93.453829299999995</v>
      </c>
      <c r="D59" s="79">
        <v>100.67151</v>
      </c>
      <c r="E59" s="80">
        <v>123.38275</v>
      </c>
      <c r="F59" s="1">
        <f t="shared" si="0"/>
        <v>105.83602976666667</v>
      </c>
      <c r="G59" s="2">
        <f t="shared" si="1"/>
        <v>12.752497059581147</v>
      </c>
    </row>
    <row r="60" spans="1:7" x14ac:dyDescent="0.25">
      <c r="A60" s="166"/>
      <c r="B60" s="32">
        <v>0.6</v>
      </c>
      <c r="C60" s="78">
        <v>99.888422199999994</v>
      </c>
      <c r="D60" s="79">
        <v>105.256345</v>
      </c>
      <c r="E60" s="80">
        <v>133.78197599999999</v>
      </c>
      <c r="F60" s="1">
        <f t="shared" si="0"/>
        <v>112.97558106666666</v>
      </c>
      <c r="G60" s="2">
        <f t="shared" si="1"/>
        <v>14.874658570604064</v>
      </c>
    </row>
    <row r="61" spans="1:7" x14ac:dyDescent="0.25">
      <c r="A61" s="166"/>
      <c r="B61" s="32">
        <v>0.5</v>
      </c>
      <c r="C61" s="78">
        <v>114.104758</v>
      </c>
      <c r="D61" s="79">
        <v>113.717044</v>
      </c>
      <c r="E61" s="80">
        <v>152.202832</v>
      </c>
      <c r="F61" s="1">
        <f t="shared" si="0"/>
        <v>126.67487799999999</v>
      </c>
      <c r="G61" s="2">
        <f t="shared" si="1"/>
        <v>18.051683339900059</v>
      </c>
    </row>
    <row r="62" spans="1:7" x14ac:dyDescent="0.25">
      <c r="A62" s="166"/>
      <c r="B62" s="32">
        <v>0.4</v>
      </c>
      <c r="C62" s="78">
        <v>139.884052</v>
      </c>
      <c r="D62" s="79">
        <v>134.103724</v>
      </c>
      <c r="E62" s="80">
        <v>171.92387500000001</v>
      </c>
      <c r="F62" s="1">
        <f t="shared" si="0"/>
        <v>148.63721699999999</v>
      </c>
      <c r="G62" s="2">
        <f t="shared" si="1"/>
        <v>16.634389650232009</v>
      </c>
    </row>
    <row r="63" spans="1:7" x14ac:dyDescent="0.25">
      <c r="A63" s="166"/>
      <c r="B63" s="32">
        <v>0.3</v>
      </c>
      <c r="C63" s="78">
        <v>159.838099</v>
      </c>
      <c r="D63" s="79">
        <v>160.39576600000001</v>
      </c>
      <c r="E63" s="80">
        <v>179.72343100000001</v>
      </c>
      <c r="F63" s="1">
        <f t="shared" si="0"/>
        <v>166.652432</v>
      </c>
      <c r="G63" s="2">
        <f t="shared" si="1"/>
        <v>9.2453955842614981</v>
      </c>
    </row>
    <row r="64" spans="1:7" x14ac:dyDescent="0.25">
      <c r="A64" s="166"/>
      <c r="B64" s="32">
        <v>0.2</v>
      </c>
      <c r="C64" s="78">
        <v>168.197766</v>
      </c>
      <c r="D64" s="79">
        <v>165.08118899999999</v>
      </c>
      <c r="E64" s="80">
        <v>188.46646999999999</v>
      </c>
      <c r="F64" s="1">
        <f t="shared" si="0"/>
        <v>173.91514166666664</v>
      </c>
      <c r="G64" s="2">
        <f t="shared" si="1"/>
        <v>10.367710459163881</v>
      </c>
    </row>
    <row r="65" spans="1:7" x14ac:dyDescent="0.25">
      <c r="A65" s="166"/>
      <c r="B65" s="32">
        <v>0.1</v>
      </c>
      <c r="C65" s="78">
        <v>176.70728500000001</v>
      </c>
      <c r="D65" s="79">
        <v>174.21906899999999</v>
      </c>
      <c r="E65" s="80">
        <v>200.56097399999999</v>
      </c>
      <c r="F65" s="1">
        <f t="shared" si="0"/>
        <v>183.82910933333332</v>
      </c>
      <c r="G65" s="2">
        <f t="shared" si="1"/>
        <v>11.874742836047723</v>
      </c>
    </row>
    <row r="66" spans="1:7" x14ac:dyDescent="0.25">
      <c r="A66" s="166"/>
      <c r="B66" s="32">
        <v>0.5</v>
      </c>
      <c r="C66" s="78">
        <v>97.098153499999995</v>
      </c>
      <c r="D66" s="79">
        <v>104.618123</v>
      </c>
      <c r="E66" s="80">
        <v>122.672698</v>
      </c>
      <c r="F66" s="1">
        <f t="shared" si="0"/>
        <v>108.12965816666667</v>
      </c>
      <c r="G66" s="2">
        <f t="shared" si="1"/>
        <v>10.731961331017196</v>
      </c>
    </row>
    <row r="67" spans="1:7" ht="15.75" thickBot="1" x14ac:dyDescent="0.3">
      <c r="A67" s="167"/>
      <c r="B67" s="33">
        <v>0.2</v>
      </c>
      <c r="C67" s="81">
        <v>150.60747599999999</v>
      </c>
      <c r="D67" s="82">
        <v>147.710554</v>
      </c>
      <c r="E67" s="83">
        <v>174.194693</v>
      </c>
      <c r="F67" s="1">
        <f t="shared" si="0"/>
        <v>157.50424100000001</v>
      </c>
      <c r="G67" s="2">
        <f t="shared" si="1"/>
        <v>11.861040714365359</v>
      </c>
    </row>
    <row r="68" spans="1:7" ht="15.75" thickTop="1" x14ac:dyDescent="0.25">
      <c r="A68" s="165" t="s">
        <v>88</v>
      </c>
      <c r="B68" s="31">
        <v>0.9</v>
      </c>
      <c r="C68" s="78">
        <v>88.997088000000005</v>
      </c>
      <c r="D68" s="79">
        <v>102.856088</v>
      </c>
      <c r="E68" s="80">
        <v>120.99528100000001</v>
      </c>
      <c r="F68" s="1">
        <f t="shared" si="0"/>
        <v>104.28281900000002</v>
      </c>
      <c r="G68" s="2">
        <f t="shared" si="1"/>
        <v>13.102105678759647</v>
      </c>
    </row>
    <row r="69" spans="1:7" x14ac:dyDescent="0.25">
      <c r="A69" s="166"/>
      <c r="B69" s="32">
        <v>0.8</v>
      </c>
      <c r="C69" s="78">
        <v>92.670193600000005</v>
      </c>
      <c r="D69" s="79">
        <v>105.46277600000001</v>
      </c>
      <c r="E69" s="80">
        <v>126.20789499999999</v>
      </c>
      <c r="F69" s="1">
        <f t="shared" si="0"/>
        <v>108.11362153333334</v>
      </c>
      <c r="G69" s="2">
        <f t="shared" si="1"/>
        <v>13.819420883430302</v>
      </c>
    </row>
    <row r="70" spans="1:7" x14ac:dyDescent="0.25">
      <c r="A70" s="166"/>
      <c r="B70" s="32">
        <v>0.7</v>
      </c>
      <c r="C70" s="78">
        <v>99.055506100000002</v>
      </c>
      <c r="D70" s="79">
        <v>109.57577999999999</v>
      </c>
      <c r="E70" s="80">
        <v>135.08595099999999</v>
      </c>
      <c r="F70" s="1">
        <f t="shared" si="0"/>
        <v>114.57241236666668</v>
      </c>
      <c r="G70" s="2">
        <f t="shared" si="1"/>
        <v>15.127744735610639</v>
      </c>
    </row>
    <row r="71" spans="1:7" x14ac:dyDescent="0.25">
      <c r="A71" s="166"/>
      <c r="B71" s="32">
        <v>0.6</v>
      </c>
      <c r="C71" s="78">
        <v>107.556917</v>
      </c>
      <c r="D71" s="79">
        <v>116.58718399999999</v>
      </c>
      <c r="E71" s="80">
        <v>148.85357200000001</v>
      </c>
      <c r="F71" s="1">
        <f t="shared" si="0"/>
        <v>124.33255766666666</v>
      </c>
      <c r="G71" s="2">
        <f t="shared" si="1"/>
        <v>17.726562713894982</v>
      </c>
    </row>
    <row r="72" spans="1:7" x14ac:dyDescent="0.25">
      <c r="A72" s="166"/>
      <c r="B72" s="32">
        <v>0.5</v>
      </c>
      <c r="C72" s="78">
        <v>122.99029899999999</v>
      </c>
      <c r="D72" s="79">
        <v>127.371028</v>
      </c>
      <c r="E72" s="80">
        <v>170.89142799999999</v>
      </c>
      <c r="F72" s="1">
        <f t="shared" si="0"/>
        <v>140.417585</v>
      </c>
      <c r="G72" s="2">
        <f t="shared" si="1"/>
        <v>21.622349965322822</v>
      </c>
    </row>
    <row r="73" spans="1:7" x14ac:dyDescent="0.25">
      <c r="A73" s="166"/>
      <c r="B73" s="32">
        <v>0.4</v>
      </c>
      <c r="C73" s="78">
        <v>147.90174099999999</v>
      </c>
      <c r="D73" s="79">
        <v>149.11048299999999</v>
      </c>
      <c r="E73" s="80">
        <v>190.88985400000001</v>
      </c>
      <c r="F73" s="1">
        <f t="shared" si="0"/>
        <v>162.63402599999998</v>
      </c>
      <c r="G73" s="2">
        <f t="shared" si="1"/>
        <v>19.985980524354765</v>
      </c>
    </row>
    <row r="74" spans="1:7" x14ac:dyDescent="0.25">
      <c r="A74" s="166"/>
      <c r="B74" s="32">
        <v>0.3</v>
      </c>
      <c r="C74" s="78">
        <v>168.24715499999999</v>
      </c>
      <c r="D74" s="79">
        <v>173.32351399999999</v>
      </c>
      <c r="E74" s="80">
        <v>201.115756</v>
      </c>
      <c r="F74" s="1">
        <f t="shared" si="0"/>
        <v>180.895475</v>
      </c>
      <c r="G74" s="2">
        <f t="shared" si="1"/>
        <v>14.447310660083447</v>
      </c>
    </row>
    <row r="75" spans="1:7" x14ac:dyDescent="0.25">
      <c r="A75" s="166"/>
      <c r="B75" s="32">
        <v>0.2</v>
      </c>
      <c r="C75" s="78">
        <v>179.654775</v>
      </c>
      <c r="D75" s="79">
        <v>184.64462900000001</v>
      </c>
      <c r="E75" s="80">
        <v>217.43152900000001</v>
      </c>
      <c r="F75" s="1">
        <f t="shared" si="0"/>
        <v>193.91031100000001</v>
      </c>
      <c r="G75" s="2">
        <f t="shared" si="1"/>
        <v>16.756300961886392</v>
      </c>
    </row>
    <row r="76" spans="1:7" x14ac:dyDescent="0.25">
      <c r="A76" s="166"/>
      <c r="B76" s="32">
        <v>0.1</v>
      </c>
      <c r="C76" s="78">
        <v>247.61739</v>
      </c>
      <c r="D76" s="79">
        <v>250.178202</v>
      </c>
      <c r="E76" s="80">
        <v>320.11100499999998</v>
      </c>
      <c r="F76" s="1">
        <f t="shared" si="0"/>
        <v>272.63553233333329</v>
      </c>
      <c r="G76" s="2">
        <f t="shared" si="1"/>
        <v>33.586503422430596</v>
      </c>
    </row>
    <row r="77" spans="1:7" x14ac:dyDescent="0.25">
      <c r="A77" s="166"/>
      <c r="B77" s="32">
        <v>0.5</v>
      </c>
      <c r="C77" s="78">
        <v>104.139571</v>
      </c>
      <c r="D77" s="79">
        <v>114.560295</v>
      </c>
      <c r="E77" s="80">
        <v>135.52352300000001</v>
      </c>
      <c r="F77" s="1">
        <f t="shared" ref="F77:F138" si="2">AVERAGE(C77:E77)</f>
        <v>118.07446299999999</v>
      </c>
      <c r="G77" s="2">
        <f t="shared" ref="G77:G138" si="3">_xlfn.STDEV.P(C77:E77)</f>
        <v>13.051184961112297</v>
      </c>
    </row>
    <row r="78" spans="1:7" ht="15.75" thickBot="1" x14ac:dyDescent="0.3">
      <c r="A78" s="167"/>
      <c r="B78" s="33">
        <v>0.2</v>
      </c>
      <c r="C78" s="81">
        <v>184.29521800000001</v>
      </c>
      <c r="D78" s="82">
        <v>182.91561200000001</v>
      </c>
      <c r="E78" s="83">
        <v>216.71457100000001</v>
      </c>
      <c r="F78" s="1">
        <f t="shared" si="2"/>
        <v>194.64180033333332</v>
      </c>
      <c r="G78" s="2">
        <f t="shared" si="3"/>
        <v>15.6179646957439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2.9598432000000004E-2</v>
      </c>
      <c r="D80">
        <f>D25</f>
        <v>2.9968608000000004E-2</v>
      </c>
      <c r="E80">
        <f>E25</f>
        <v>2.958672E-2</v>
      </c>
      <c r="F80" s="1">
        <f t="shared" si="2"/>
        <v>2.9717920000000005E-2</v>
      </c>
      <c r="G80" s="2">
        <f t="shared" si="3"/>
        <v>1.7732765857586999E-4</v>
      </c>
    </row>
    <row r="81" spans="1:7" ht="15.75" thickTop="1" x14ac:dyDescent="0.25">
      <c r="A81" s="161" t="s">
        <v>90</v>
      </c>
      <c r="B81" s="38" t="s">
        <v>73</v>
      </c>
      <c r="C81">
        <f>C33/C80</f>
        <v>182.8862066071608</v>
      </c>
      <c r="D81">
        <f>D33/D80</f>
        <v>182.0102051453307</v>
      </c>
      <c r="E81">
        <f>E33/E80</f>
        <v>182.22761056311751</v>
      </c>
      <c r="F81" s="1">
        <f t="shared" si="2"/>
        <v>182.37467410520301</v>
      </c>
      <c r="G81" s="2">
        <f t="shared" si="3"/>
        <v>0.37243827617487363</v>
      </c>
    </row>
    <row r="82" spans="1:7" x14ac:dyDescent="0.25">
      <c r="A82" s="162"/>
      <c r="B82" s="38" t="s">
        <v>74</v>
      </c>
      <c r="C82">
        <f>C34/C80</f>
        <v>165.47038741781995</v>
      </c>
      <c r="D82">
        <f>D34/D80</f>
        <v>165.76144844632088</v>
      </c>
      <c r="E82">
        <f>E34/E80</f>
        <v>165.6070470129842</v>
      </c>
      <c r="F82" s="1">
        <f t="shared" si="2"/>
        <v>165.61296095904169</v>
      </c>
      <c r="G82" s="2">
        <f t="shared" si="3"/>
        <v>0.11889872902736311</v>
      </c>
    </row>
    <row r="83" spans="1:7" x14ac:dyDescent="0.25">
      <c r="A83" s="162"/>
      <c r="B83" s="38" t="s">
        <v>75</v>
      </c>
      <c r="C83">
        <f>C35/C80</f>
        <v>157.60141280457015</v>
      </c>
      <c r="D83">
        <f>D35/D80</f>
        <v>157.6019473443678</v>
      </c>
      <c r="E83">
        <f>E35/E80</f>
        <v>157.44670852328341</v>
      </c>
      <c r="F83" s="1">
        <f t="shared" si="2"/>
        <v>157.55002289074045</v>
      </c>
      <c r="G83" s="2">
        <f t="shared" si="3"/>
        <v>7.3054615758740685E-2</v>
      </c>
    </row>
    <row r="84" spans="1:7" x14ac:dyDescent="0.25">
      <c r="A84" s="162"/>
      <c r="B84" s="38" t="s">
        <v>76</v>
      </c>
      <c r="C84">
        <f>C36/C80</f>
        <v>158.21522099549057</v>
      </c>
      <c r="D84">
        <f>D36/D80</f>
        <v>158.34477664094373</v>
      </c>
      <c r="E84">
        <f>E36/E80</f>
        <v>158.34434300253628</v>
      </c>
      <c r="F84" s="1">
        <f t="shared" si="2"/>
        <v>158.30144687965688</v>
      </c>
      <c r="G84" s="2">
        <f t="shared" si="3"/>
        <v>6.0971164418169375E-2</v>
      </c>
    </row>
    <row r="85" spans="1:7" x14ac:dyDescent="0.25">
      <c r="A85" s="162"/>
      <c r="B85" s="38" t="s">
        <v>77</v>
      </c>
      <c r="C85">
        <f>C37/C80</f>
        <v>158.48992642583227</v>
      </c>
      <c r="D85">
        <f>D37/D80</f>
        <v>158.83619452728666</v>
      </c>
      <c r="E85">
        <f>E37/E80</f>
        <v>158.87677444475088</v>
      </c>
      <c r="F85" s="1">
        <f t="shared" si="2"/>
        <v>158.73429846595658</v>
      </c>
      <c r="G85" s="2">
        <f t="shared" si="3"/>
        <v>0.17358946381476928</v>
      </c>
    </row>
    <row r="86" spans="1:7" x14ac:dyDescent="0.25">
      <c r="A86" s="162"/>
      <c r="B86" s="38" t="s">
        <v>78</v>
      </c>
      <c r="C86">
        <f>C38/C80</f>
        <v>158.96544587226779</v>
      </c>
      <c r="D86">
        <f>D38/D80</f>
        <v>159.33019077829707</v>
      </c>
      <c r="E86">
        <f>E38/E80</f>
        <v>159.35976918022681</v>
      </c>
      <c r="F86" s="1">
        <f t="shared" si="2"/>
        <v>159.2184686102639</v>
      </c>
      <c r="G86" s="2">
        <f t="shared" si="3"/>
        <v>0.17932112707367534</v>
      </c>
    </row>
    <row r="87" spans="1:7" x14ac:dyDescent="0.25">
      <c r="A87" s="162"/>
      <c r="B87" s="38" t="s">
        <v>79</v>
      </c>
      <c r="C87">
        <f>C39/C80</f>
        <v>160.16339852057027</v>
      </c>
      <c r="D87">
        <f>D39/D80</f>
        <v>160.50310211271741</v>
      </c>
      <c r="E87">
        <f>E39/E80</f>
        <v>160.42818602399996</v>
      </c>
      <c r="F87" s="1">
        <f t="shared" si="2"/>
        <v>160.3648955524292</v>
      </c>
      <c r="G87" s="2">
        <f t="shared" si="3"/>
        <v>0.14572553076052217</v>
      </c>
    </row>
    <row r="88" spans="1:7" x14ac:dyDescent="0.25">
      <c r="A88" s="162"/>
      <c r="B88" s="38" t="s">
        <v>80</v>
      </c>
      <c r="C88">
        <f>C40/C80</f>
        <v>159.78214521634115</v>
      </c>
      <c r="D88">
        <f>D40/D80</f>
        <v>160.1913685814169</v>
      </c>
      <c r="E88">
        <f>E40/E80</f>
        <v>160.14751212706241</v>
      </c>
      <c r="F88" s="1">
        <f t="shared" si="2"/>
        <v>160.04034197494016</v>
      </c>
      <c r="G88" s="2">
        <f t="shared" si="3"/>
        <v>0.18344848824744731</v>
      </c>
    </row>
    <row r="89" spans="1:7" x14ac:dyDescent="0.25">
      <c r="A89" s="162"/>
      <c r="B89" s="38" t="s">
        <v>80</v>
      </c>
      <c r="C89">
        <f>C41/C80</f>
        <v>152.93998648306771</v>
      </c>
      <c r="D89">
        <f>D41/D80</f>
        <v>152.75343819773008</v>
      </c>
      <c r="E89">
        <f>E41/E80</f>
        <v>153.10813364915069</v>
      </c>
      <c r="F89" s="1">
        <f t="shared" si="2"/>
        <v>152.93385277664947</v>
      </c>
      <c r="G89" s="2">
        <f t="shared" si="3"/>
        <v>0.14486875112882094</v>
      </c>
    </row>
    <row r="90" spans="1:7" x14ac:dyDescent="0.25">
      <c r="A90" s="162"/>
      <c r="B90" s="38" t="s">
        <v>80</v>
      </c>
      <c r="C90">
        <f>C42/C80</f>
        <v>144.55905265522171</v>
      </c>
      <c r="D90">
        <f>D42/D80</f>
        <v>142.69884974303775</v>
      </c>
      <c r="E90">
        <f>E42/E80</f>
        <v>143.23299608743383</v>
      </c>
      <c r="F90" s="1">
        <f t="shared" si="2"/>
        <v>143.49696616189777</v>
      </c>
      <c r="G90" s="2">
        <f t="shared" si="3"/>
        <v>0.78202679782889917</v>
      </c>
    </row>
    <row r="91" spans="1:7" x14ac:dyDescent="0.25">
      <c r="A91" s="162"/>
      <c r="B91" s="38" t="s">
        <v>80</v>
      </c>
      <c r="C91">
        <f>C43/C80</f>
        <v>130.7116637124561</v>
      </c>
      <c r="D91">
        <f>D43/D80</f>
        <v>131.17268109349621</v>
      </c>
      <c r="E91">
        <f>E43/E80</f>
        <v>131.01997517805285</v>
      </c>
      <c r="F91" s="1">
        <f t="shared" si="2"/>
        <v>130.96810666133504</v>
      </c>
      <c r="G91" s="2">
        <f t="shared" si="3"/>
        <v>0.19174986079985923</v>
      </c>
    </row>
    <row r="92" spans="1:7" ht="15.75" thickBot="1" x14ac:dyDescent="0.3">
      <c r="A92" s="163"/>
      <c r="B92" s="39" t="s">
        <v>80</v>
      </c>
      <c r="C92">
        <f>C44/C80</f>
        <v>28.803443709450551</v>
      </c>
      <c r="D92">
        <f>D44/D80</f>
        <v>14.080488489822415</v>
      </c>
      <c r="E92">
        <f>E44/E80</f>
        <v>4.9635451310587992</v>
      </c>
      <c r="F92" s="1">
        <f t="shared" si="2"/>
        <v>15.949159110110587</v>
      </c>
      <c r="G92" s="2">
        <f t="shared" si="3"/>
        <v>9.8218850353805127</v>
      </c>
    </row>
    <row r="93" spans="1:7" ht="15.75" thickTop="1" x14ac:dyDescent="0.25">
      <c r="A93" s="161" t="s">
        <v>91</v>
      </c>
      <c r="B93" s="40" t="s">
        <v>73</v>
      </c>
      <c r="C93">
        <f>C45/C80</f>
        <v>164.50392169423026</v>
      </c>
      <c r="D93">
        <f>D45/D80</f>
        <v>165.3704780015141</v>
      </c>
      <c r="E93">
        <f>E45/E80</f>
        <v>164.99312934992454</v>
      </c>
      <c r="F93" s="1">
        <f t="shared" si="2"/>
        <v>164.95584301522297</v>
      </c>
      <c r="G93" s="2">
        <f t="shared" si="3"/>
        <v>0.3547512381843192</v>
      </c>
    </row>
    <row r="94" spans="1:7" x14ac:dyDescent="0.25">
      <c r="A94" s="162"/>
      <c r="B94" s="38" t="s">
        <v>74</v>
      </c>
      <c r="C94">
        <f>C46/C80</f>
        <v>157.11327309500717</v>
      </c>
      <c r="D94">
        <f>D46/D80</f>
        <v>157.36760946654576</v>
      </c>
      <c r="E94">
        <f>E46/E80</f>
        <v>157.09747954487688</v>
      </c>
      <c r="F94" s="1">
        <f t="shared" si="2"/>
        <v>157.19278736880992</v>
      </c>
      <c r="G94" s="2">
        <f t="shared" si="3"/>
        <v>0.12378592663410129</v>
      </c>
    </row>
    <row r="95" spans="1:7" x14ac:dyDescent="0.25">
      <c r="A95" s="162"/>
      <c r="B95" s="38" t="s">
        <v>75</v>
      </c>
      <c r="C95">
        <f>C47/C80</f>
        <v>157.74123608980366</v>
      </c>
      <c r="D95">
        <f>D47/D80</f>
        <v>158.10888713950277</v>
      </c>
      <c r="E95">
        <f>E47/E80</f>
        <v>157.96012501554753</v>
      </c>
      <c r="F95" s="1">
        <f t="shared" si="2"/>
        <v>157.93674941495132</v>
      </c>
      <c r="G95" s="2">
        <f t="shared" si="3"/>
        <v>0.15100030378256141</v>
      </c>
    </row>
    <row r="96" spans="1:7" x14ac:dyDescent="0.25">
      <c r="A96" s="162"/>
      <c r="B96" s="38" t="s">
        <v>76</v>
      </c>
      <c r="C96">
        <f>C48/C80</f>
        <v>158.01799230445718</v>
      </c>
      <c r="D96">
        <f>D48/D80</f>
        <v>158.61370371289848</v>
      </c>
      <c r="E96">
        <f>E48/E80</f>
        <v>158.5191565675411</v>
      </c>
      <c r="F96" s="1">
        <f t="shared" si="2"/>
        <v>158.38361752829894</v>
      </c>
      <c r="G96" s="2">
        <f t="shared" si="3"/>
        <v>0.26140153519799164</v>
      </c>
    </row>
    <row r="97" spans="1:7" x14ac:dyDescent="0.25">
      <c r="A97" s="162"/>
      <c r="B97" s="38" t="s">
        <v>77</v>
      </c>
      <c r="C97">
        <f>C49/C80</f>
        <v>158.48248245042166</v>
      </c>
      <c r="D97">
        <f>D49/D80</f>
        <v>159.11689525252555</v>
      </c>
      <c r="E97">
        <f>E49/E80</f>
        <v>159.0145957375471</v>
      </c>
      <c r="F97" s="1">
        <f t="shared" si="2"/>
        <v>158.87132448016476</v>
      </c>
      <c r="G97" s="2">
        <f t="shared" si="3"/>
        <v>0.27810656322384075</v>
      </c>
    </row>
    <row r="98" spans="1:7" x14ac:dyDescent="0.25">
      <c r="A98" s="162"/>
      <c r="B98" s="38" t="s">
        <v>78</v>
      </c>
      <c r="C98">
        <f>C50/C80</f>
        <v>158.89791763293405</v>
      </c>
      <c r="D98">
        <f>D50/D80</f>
        <v>159.5655513929776</v>
      </c>
      <c r="E98">
        <f>E50/E80</f>
        <v>159.42734071231959</v>
      </c>
      <c r="F98" s="1">
        <f t="shared" si="2"/>
        <v>159.29693657941041</v>
      </c>
      <c r="G98" s="2">
        <f t="shared" si="3"/>
        <v>0.28773557050101356</v>
      </c>
    </row>
    <row r="99" spans="1:7" x14ac:dyDescent="0.25">
      <c r="A99" s="162"/>
      <c r="B99" s="38" t="s">
        <v>79</v>
      </c>
      <c r="C99">
        <f>C51/C80</f>
        <v>160.03457885877197</v>
      </c>
      <c r="D99">
        <f>D51/D80</f>
        <v>160.69627691749977</v>
      </c>
      <c r="E99">
        <f>E51/E80</f>
        <v>160.45079684398945</v>
      </c>
      <c r="F99" s="1">
        <f t="shared" si="2"/>
        <v>160.39388420675371</v>
      </c>
      <c r="G99" s="2">
        <f t="shared" si="3"/>
        <v>0.27311824843082277</v>
      </c>
    </row>
    <row r="100" spans="1:7" x14ac:dyDescent="0.25">
      <c r="A100" s="162"/>
      <c r="B100" s="38" t="s">
        <v>82</v>
      </c>
      <c r="C100">
        <f>C52/C80</f>
        <v>152.33600077193276</v>
      </c>
      <c r="D100">
        <f>D52/D80</f>
        <v>152.71415175506314</v>
      </c>
      <c r="E100">
        <f>E52/E80</f>
        <v>152.79661449461111</v>
      </c>
      <c r="F100" s="1">
        <f t="shared" si="2"/>
        <v>152.61558900720235</v>
      </c>
      <c r="G100" s="2">
        <f t="shared" si="3"/>
        <v>0.20054461154450678</v>
      </c>
    </row>
    <row r="101" spans="1:7" x14ac:dyDescent="0.25">
      <c r="A101" s="162"/>
      <c r="B101" s="38" t="s">
        <v>83</v>
      </c>
      <c r="C101">
        <f>C53/C80</f>
        <v>144.15557452502887</v>
      </c>
      <c r="D101">
        <f>D53/D80</f>
        <v>142.61858708953045</v>
      </c>
      <c r="E101">
        <f>E53/E80</f>
        <v>142.36699066337869</v>
      </c>
      <c r="F101" s="1">
        <f t="shared" si="2"/>
        <v>143.04705075931267</v>
      </c>
      <c r="G101" s="2">
        <f t="shared" si="3"/>
        <v>0.79054575865086307</v>
      </c>
    </row>
    <row r="102" spans="1:7" x14ac:dyDescent="0.25">
      <c r="A102" s="162"/>
      <c r="B102" s="38" t="s">
        <v>84</v>
      </c>
      <c r="C102">
        <f>C54/C80</f>
        <v>120.72040539174506</v>
      </c>
      <c r="D102">
        <f>D54/D80</f>
        <v>116.18942094340849</v>
      </c>
      <c r="E102">
        <f>E54/E80</f>
        <v>107.70430078089089</v>
      </c>
      <c r="F102" s="1">
        <f t="shared" si="2"/>
        <v>114.87137570534814</v>
      </c>
      <c r="G102" s="2">
        <f t="shared" si="3"/>
        <v>5.3949159553141612</v>
      </c>
    </row>
    <row r="103" spans="1:7" x14ac:dyDescent="0.25">
      <c r="A103" s="162"/>
      <c r="B103" s="38" t="s">
        <v>85</v>
      </c>
      <c r="C103">
        <f>C55/C80</f>
        <v>28.719287562260053</v>
      </c>
      <c r="D103">
        <f>D55/D80</f>
        <v>13.965716725982066</v>
      </c>
      <c r="E103">
        <f>E55/E80</f>
        <v>4.8136947927989313</v>
      </c>
      <c r="F103" s="1">
        <f t="shared" si="2"/>
        <v>15.832899693680352</v>
      </c>
      <c r="G103" s="2">
        <f t="shared" si="3"/>
        <v>9.8483203505631653</v>
      </c>
    </row>
    <row r="104" spans="1:7" ht="15.75" thickBot="1" x14ac:dyDescent="0.3">
      <c r="A104" s="163"/>
      <c r="B104" s="39" t="s">
        <v>86</v>
      </c>
      <c r="C104">
        <f>C56/C80</f>
        <v>8.8673616223994549E-4</v>
      </c>
      <c r="D104">
        <f>D56/D80</f>
        <v>8.9206679202450756E-4</v>
      </c>
      <c r="E104">
        <f>E56/E80</f>
        <v>8.9016288388844714E-4</v>
      </c>
      <c r="F104" s="1">
        <f t="shared" si="2"/>
        <v>8.8965527938430003E-4</v>
      </c>
      <c r="G104" s="2">
        <f t="shared" si="3"/>
        <v>2.2056216394307624E-6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0.17945676345113126</v>
      </c>
      <c r="D106">
        <f>D55/D51</f>
        <v>8.6907531362110865E-2</v>
      </c>
      <c r="E106">
        <f>E55/E51</f>
        <v>3.0001065045999205E-2</v>
      </c>
      <c r="F106" s="1">
        <f t="shared" si="2"/>
        <v>9.878845328641378E-2</v>
      </c>
      <c r="G106" s="2">
        <f t="shared" si="3"/>
        <v>6.1590684770615474E-2</v>
      </c>
    </row>
    <row r="107" spans="1:7" ht="15.75" thickBot="1" x14ac:dyDescent="0.3">
      <c r="A107" s="36"/>
      <c r="B107" s="39" t="s">
        <v>94</v>
      </c>
      <c r="C107">
        <f>(1-C45/C33)*100</f>
        <v>10.051214497775462</v>
      </c>
      <c r="D107">
        <f>(1-D45/D33)*100</f>
        <v>9.1421945986655988</v>
      </c>
      <c r="E107">
        <f>(1-E45/E33)*100</f>
        <v>9.4576673424708666</v>
      </c>
      <c r="F107" s="1">
        <f t="shared" si="2"/>
        <v>9.5503588129706412</v>
      </c>
      <c r="G107" s="2">
        <f t="shared" si="3"/>
        <v>0.37684928532238138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1.1520408800000001E-2</v>
      </c>
      <c r="D110">
        <f>D16*D21/10^4</f>
        <v>1.1520408800000001E-2</v>
      </c>
      <c r="E110">
        <f>E16*E21/10^4</f>
        <v>1.13484624E-2</v>
      </c>
      <c r="F110" s="1">
        <f t="shared" si="2"/>
        <v>1.1463093333333334E-2</v>
      </c>
      <c r="G110" s="2">
        <f t="shared" si="3"/>
        <v>8.1056310293743558E-5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469.87438067301917</v>
      </c>
      <c r="D111">
        <f>D33/D110</f>
        <v>473.47212973900707</v>
      </c>
      <c r="E111">
        <f>E33/E110</f>
        <v>475.08791058778149</v>
      </c>
      <c r="F111" s="1">
        <f t="shared" si="2"/>
        <v>472.81147366660252</v>
      </c>
      <c r="G111" s="2">
        <f t="shared" si="3"/>
        <v>2.1790783032487373</v>
      </c>
    </row>
    <row r="112" spans="1:7" x14ac:dyDescent="0.25">
      <c r="A112" s="162"/>
      <c r="B112" s="38" t="s">
        <v>74</v>
      </c>
      <c r="C112">
        <f>C34/C110</f>
        <v>425.12935912482544</v>
      </c>
      <c r="D112">
        <f>D34/D110</f>
        <v>431.20343698220148</v>
      </c>
      <c r="E112">
        <f>E34/E110</f>
        <v>431.75622893194759</v>
      </c>
      <c r="F112" s="1">
        <f t="shared" si="2"/>
        <v>429.36300834632488</v>
      </c>
      <c r="G112" s="2">
        <f t="shared" si="3"/>
        <v>3.0021363541043962</v>
      </c>
    </row>
    <row r="113" spans="1:7" x14ac:dyDescent="0.25">
      <c r="A113" s="162"/>
      <c r="B113" s="38" t="s">
        <v>75</v>
      </c>
      <c r="C113">
        <f>C35/C110</f>
        <v>404.91225450263528</v>
      </c>
      <c r="D113">
        <f>D35/D110</f>
        <v>409.97772405437559</v>
      </c>
      <c r="E113">
        <f>E35/E110</f>
        <v>410.48130714166172</v>
      </c>
      <c r="F113" s="1">
        <f t="shared" si="2"/>
        <v>408.45709523289088</v>
      </c>
      <c r="G113" s="2">
        <f t="shared" si="3"/>
        <v>2.5149977910672012</v>
      </c>
    </row>
    <row r="114" spans="1:7" x14ac:dyDescent="0.25">
      <c r="A114" s="162"/>
      <c r="B114" s="38" t="s">
        <v>76</v>
      </c>
      <c r="C114">
        <f>C36/C110</f>
        <v>406.48926104080613</v>
      </c>
      <c r="D114">
        <f>D36/D110</f>
        <v>411.91008256582001</v>
      </c>
      <c r="E114">
        <f>E36/E110</f>
        <v>412.82154135700358</v>
      </c>
      <c r="F114" s="1">
        <f t="shared" si="2"/>
        <v>410.40696165454324</v>
      </c>
      <c r="G114" s="2">
        <f t="shared" si="3"/>
        <v>2.7951115488966995</v>
      </c>
    </row>
    <row r="115" spans="1:7" x14ac:dyDescent="0.25">
      <c r="A115" s="162"/>
      <c r="B115" s="38" t="s">
        <v>77</v>
      </c>
      <c r="C115">
        <f>C37/C110</f>
        <v>407.19503894688177</v>
      </c>
      <c r="D115">
        <f>D37/D110</f>
        <v>413.18843216744176</v>
      </c>
      <c r="E115">
        <f>E37/E110</f>
        <v>414.20965011083791</v>
      </c>
      <c r="F115" s="1">
        <f t="shared" si="2"/>
        <v>411.53104040838713</v>
      </c>
      <c r="G115" s="2">
        <f t="shared" si="3"/>
        <v>3.0942315176912842</v>
      </c>
    </row>
    <row r="116" spans="1:7" x14ac:dyDescent="0.25">
      <c r="A116" s="162"/>
      <c r="B116" s="38" t="s">
        <v>78</v>
      </c>
      <c r="C116">
        <f>C38/C110</f>
        <v>408.41675166943719</v>
      </c>
      <c r="D116">
        <f>D38/D110</f>
        <v>414.47348899632794</v>
      </c>
      <c r="E116">
        <f>E38/E110</f>
        <v>415.46887180064147</v>
      </c>
      <c r="F116" s="1">
        <f t="shared" si="2"/>
        <v>412.7863708221355</v>
      </c>
      <c r="G116" s="2">
        <f t="shared" si="3"/>
        <v>3.1163948601444273</v>
      </c>
    </row>
    <row r="117" spans="1:7" x14ac:dyDescent="0.25">
      <c r="A117" s="162"/>
      <c r="B117" s="38" t="s">
        <v>79</v>
      </c>
      <c r="C117">
        <f>C39/C110</f>
        <v>411.49455217248885</v>
      </c>
      <c r="D117">
        <f>D39/D110</f>
        <v>417.52464113947065</v>
      </c>
      <c r="E117">
        <f>E39/E110</f>
        <v>418.25435488071054</v>
      </c>
      <c r="F117" s="1">
        <f t="shared" si="2"/>
        <v>415.75784939755664</v>
      </c>
      <c r="G117" s="2">
        <f t="shared" si="3"/>
        <v>3.0292901212431325</v>
      </c>
    </row>
    <row r="118" spans="1:7" x14ac:dyDescent="0.25">
      <c r="A118" s="162"/>
      <c r="B118" s="38" t="s">
        <v>80</v>
      </c>
      <c r="C118">
        <f>C40/C110</f>
        <v>410.51502964026758</v>
      </c>
      <c r="D118">
        <f>D40/D110</f>
        <v>416.71371331892311</v>
      </c>
      <c r="E118">
        <f>E40/E110</f>
        <v>417.52260641053891</v>
      </c>
      <c r="F118" s="1">
        <f t="shared" si="2"/>
        <v>414.91711645657648</v>
      </c>
      <c r="G118" s="2">
        <f t="shared" si="3"/>
        <v>3.1302133326826946</v>
      </c>
    </row>
    <row r="119" spans="1:7" x14ac:dyDescent="0.25">
      <c r="A119" s="162"/>
      <c r="B119" s="38" t="s">
        <v>80</v>
      </c>
      <c r="C119">
        <f>C41/C110</f>
        <v>392.93603799892929</v>
      </c>
      <c r="D119">
        <f>D41/D110</f>
        <v>397.36505791356979</v>
      </c>
      <c r="E119">
        <f>E41/E110</f>
        <v>399.17015365887801</v>
      </c>
      <c r="F119" s="1">
        <f t="shared" si="2"/>
        <v>396.49041652379236</v>
      </c>
      <c r="G119" s="2">
        <f t="shared" si="3"/>
        <v>2.6191344226592981</v>
      </c>
    </row>
    <row r="120" spans="1:7" x14ac:dyDescent="0.25">
      <c r="A120" s="162"/>
      <c r="B120" s="38" t="s">
        <v>80</v>
      </c>
      <c r="C120">
        <f>C42/C110</f>
        <v>371.40359897645294</v>
      </c>
      <c r="D120">
        <f>D42/D110</f>
        <v>371.20956072322707</v>
      </c>
      <c r="E120">
        <f>E42/E110</f>
        <v>373.42455749776286</v>
      </c>
      <c r="F120" s="1">
        <f t="shared" si="2"/>
        <v>372.01257239914759</v>
      </c>
      <c r="G120" s="2">
        <f t="shared" si="3"/>
        <v>1.001561830330459</v>
      </c>
    </row>
    <row r="121" spans="1:7" x14ac:dyDescent="0.25">
      <c r="A121" s="162"/>
      <c r="B121" s="38" t="s">
        <v>80</v>
      </c>
      <c r="C121">
        <f>C43/C110</f>
        <v>335.82664965847391</v>
      </c>
      <c r="D121">
        <f>D43/D110</f>
        <v>341.22596934233786</v>
      </c>
      <c r="E121">
        <f>E43/E110</f>
        <v>341.58383606223168</v>
      </c>
      <c r="F121" s="1">
        <f t="shared" si="2"/>
        <v>339.54548502101449</v>
      </c>
      <c r="G121" s="2">
        <f t="shared" si="3"/>
        <v>2.6336691120391471</v>
      </c>
    </row>
    <row r="122" spans="1:7" ht="15.75" thickBot="1" x14ac:dyDescent="0.3">
      <c r="A122" s="163"/>
      <c r="B122" s="39" t="s">
        <v>80</v>
      </c>
      <c r="C122">
        <f>C44/C110</f>
        <v>74.002301897481274</v>
      </c>
      <c r="D122">
        <f>D44/D110</f>
        <v>36.628269649597847</v>
      </c>
      <c r="E122">
        <f>E44/E110</f>
        <v>12.940521352037964</v>
      </c>
      <c r="F122" s="1">
        <f t="shared" si="2"/>
        <v>41.190364299705692</v>
      </c>
      <c r="G122" s="2">
        <f t="shared" si="3"/>
        <v>25.136226069723588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422.64629880147999</v>
      </c>
      <c r="D123">
        <f>D45/D110</f>
        <v>430.18638626782058</v>
      </c>
      <c r="E123">
        <f>E45/E110</f>
        <v>430.1556764200937</v>
      </c>
      <c r="F123" s="1">
        <f t="shared" si="2"/>
        <v>427.66278716313144</v>
      </c>
      <c r="G123" s="2">
        <f t="shared" si="3"/>
        <v>3.5472150940914271</v>
      </c>
    </row>
    <row r="124" spans="1:7" x14ac:dyDescent="0.25">
      <c r="A124" s="162"/>
      <c r="B124" s="38" t="s">
        <v>74</v>
      </c>
      <c r="C124">
        <f>C46/C110</f>
        <v>403.65811758346626</v>
      </c>
      <c r="D124">
        <f>D46/D110</f>
        <v>409.36812936707588</v>
      </c>
      <c r="E124">
        <f>E46/E110</f>
        <v>409.57082785065222</v>
      </c>
      <c r="F124" s="1">
        <f t="shared" si="2"/>
        <v>407.53235826706481</v>
      </c>
      <c r="G124" s="2">
        <f t="shared" si="3"/>
        <v>2.7407513963204213</v>
      </c>
    </row>
    <row r="125" spans="1:7" x14ac:dyDescent="0.25">
      <c r="A125" s="162"/>
      <c r="B125" s="38" t="s">
        <v>75</v>
      </c>
      <c r="C125">
        <f>C47/C110</f>
        <v>405.2714908866775</v>
      </c>
      <c r="D125">
        <f>D47/D110</f>
        <v>411.29645156342019</v>
      </c>
      <c r="E125">
        <f>E47/E110</f>
        <v>411.81984177874176</v>
      </c>
      <c r="F125" s="1">
        <f t="shared" si="2"/>
        <v>409.46259474294646</v>
      </c>
      <c r="G125" s="2">
        <f t="shared" si="3"/>
        <v>2.9712509127636419</v>
      </c>
    </row>
    <row r="126" spans="1:7" x14ac:dyDescent="0.25">
      <c r="A126" s="162"/>
      <c r="B126" s="38" t="s">
        <v>76</v>
      </c>
      <c r="C126">
        <f>C48/C110</f>
        <v>405.98253770300232</v>
      </c>
      <c r="D126">
        <f>D48/D110</f>
        <v>412.60965583096316</v>
      </c>
      <c r="E126">
        <f>E48/E110</f>
        <v>413.27730001555096</v>
      </c>
      <c r="F126" s="1">
        <f t="shared" si="2"/>
        <v>410.62316451650548</v>
      </c>
      <c r="G126" s="2">
        <f t="shared" si="3"/>
        <v>3.2927192517185397</v>
      </c>
    </row>
    <row r="127" spans="1:7" x14ac:dyDescent="0.25">
      <c r="A127" s="162"/>
      <c r="B127" s="38" t="s">
        <v>77</v>
      </c>
      <c r="C127">
        <f>C49/C110</f>
        <v>407.17591375750476</v>
      </c>
      <c r="D127">
        <f>D49/D110</f>
        <v>413.91863281796037</v>
      </c>
      <c r="E127">
        <f>E49/E110</f>
        <v>414.5689657481704</v>
      </c>
      <c r="F127" s="1">
        <f t="shared" si="2"/>
        <v>411.88783744121184</v>
      </c>
      <c r="G127" s="2">
        <f t="shared" si="3"/>
        <v>3.342394533947052</v>
      </c>
    </row>
    <row r="128" spans="1:7" x14ac:dyDescent="0.25">
      <c r="A128" s="162"/>
      <c r="B128" s="38" t="s">
        <v>78</v>
      </c>
      <c r="C128">
        <f>C50/C110</f>
        <v>408.24325695803429</v>
      </c>
      <c r="D128">
        <f>D50/D110</f>
        <v>415.08574417949472</v>
      </c>
      <c r="E128">
        <f>E50/E110</f>
        <v>415.64503839744845</v>
      </c>
      <c r="F128" s="1">
        <f t="shared" si="2"/>
        <v>412.99134651165917</v>
      </c>
      <c r="G128" s="2">
        <f t="shared" si="3"/>
        <v>3.3651615426791688</v>
      </c>
    </row>
    <row r="129" spans="1:7" x14ac:dyDescent="0.25">
      <c r="A129" s="162"/>
      <c r="B129" s="38" t="s">
        <v>79</v>
      </c>
      <c r="C129">
        <f>C51/C110</f>
        <v>411.16358648661839</v>
      </c>
      <c r="D129">
        <f>D51/D110</f>
        <v>418.02715629327315</v>
      </c>
      <c r="E129">
        <f>E51/E110</f>
        <v>418.31330383576892</v>
      </c>
      <c r="F129" s="1">
        <f t="shared" si="2"/>
        <v>415.83468220522013</v>
      </c>
      <c r="G129" s="2">
        <f t="shared" si="3"/>
        <v>3.3050286446841288</v>
      </c>
    </row>
    <row r="130" spans="1:7" x14ac:dyDescent="0.25">
      <c r="A130" s="162"/>
      <c r="B130" s="38" t="s">
        <v>82</v>
      </c>
      <c r="C130">
        <f>C52/C110</f>
        <v>391.38426754439479</v>
      </c>
      <c r="D130">
        <f>D52/D110</f>
        <v>397.2628601512821</v>
      </c>
      <c r="E130">
        <f>E52/E110</f>
        <v>398.35798812709641</v>
      </c>
      <c r="F130" s="1">
        <f t="shared" si="2"/>
        <v>395.66837194092449</v>
      </c>
      <c r="G130" s="2">
        <f t="shared" si="3"/>
        <v>3.0621331542054411</v>
      </c>
    </row>
    <row r="131" spans="1:7" x14ac:dyDescent="0.25">
      <c r="A131" s="162"/>
      <c r="B131" s="38" t="s">
        <v>83</v>
      </c>
      <c r="C131">
        <f>C53/C110</f>
        <v>370.36697603994742</v>
      </c>
      <c r="D131">
        <f>D53/D110</f>
        <v>371.00076952130377</v>
      </c>
      <c r="E131">
        <f>E53/E110</f>
        <v>371.16678379266602</v>
      </c>
      <c r="F131" s="1">
        <f t="shared" si="2"/>
        <v>370.8448431179724</v>
      </c>
      <c r="G131" s="2">
        <f t="shared" si="3"/>
        <v>0.34463303456390482</v>
      </c>
    </row>
    <row r="132" spans="1:7" x14ac:dyDescent="0.25">
      <c r="A132" s="162"/>
      <c r="B132" s="38" t="s">
        <v>84</v>
      </c>
      <c r="C132">
        <f>C54/C110</f>
        <v>310.15693731284949</v>
      </c>
      <c r="D132">
        <f>D54/D110</f>
        <v>302.2492752166919</v>
      </c>
      <c r="E132">
        <f>E54/E110</f>
        <v>280.79724615380496</v>
      </c>
      <c r="F132" s="1">
        <f t="shared" si="2"/>
        <v>297.7344862277821</v>
      </c>
      <c r="G132" s="2">
        <f t="shared" si="3"/>
        <v>12.403906802546933</v>
      </c>
    </row>
    <row r="133" spans="1:7" x14ac:dyDescent="0.25">
      <c r="A133" s="162"/>
      <c r="B133" s="38" t="s">
        <v>85</v>
      </c>
      <c r="C133">
        <f>C55/C110</f>
        <v>73.786086479847825</v>
      </c>
      <c r="D133">
        <f>D55/D110</f>
        <v>36.329708195771659</v>
      </c>
      <c r="E133">
        <f>E55/E110</f>
        <v>12.549844637983734</v>
      </c>
      <c r="F133" s="1">
        <f t="shared" si="2"/>
        <v>40.888546437867738</v>
      </c>
      <c r="G133" s="2">
        <f t="shared" si="3"/>
        <v>25.206567706545769</v>
      </c>
    </row>
    <row r="134" spans="1:7" ht="15.75" thickBot="1" x14ac:dyDescent="0.3">
      <c r="A134" s="163"/>
      <c r="B134" s="39" t="s">
        <v>86</v>
      </c>
      <c r="C134">
        <f>C56/C110</f>
        <v>2.2782177660223306E-3</v>
      </c>
      <c r="D134">
        <f>D56/D110</f>
        <v>2.3205773739556879E-3</v>
      </c>
      <c r="E134">
        <f>E56/E110</f>
        <v>2.3207549244732921E-3</v>
      </c>
      <c r="F134" s="1">
        <f t="shared" si="2"/>
        <v>2.306516688150437E-3</v>
      </c>
      <c r="G134" s="2">
        <f t="shared" si="3"/>
        <v>2.0010491019396875E-5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DD059</v>
      </c>
      <c r="D137" s="68" t="str">
        <f>D1</f>
        <v>DD027</v>
      </c>
      <c r="E137" s="68" t="str">
        <f>E1</f>
        <v>DD028</v>
      </c>
    </row>
    <row r="138" spans="1:7" ht="14.45" customHeight="1" x14ac:dyDescent="0.25">
      <c r="A138" s="172"/>
      <c r="B138" s="69" t="s">
        <v>100</v>
      </c>
      <c r="C138" s="68">
        <f>C25</f>
        <v>2.9598432000000004E-2</v>
      </c>
      <c r="D138" s="68">
        <f>D25</f>
        <v>2.9968608000000004E-2</v>
      </c>
      <c r="E138" s="68">
        <f>E25</f>
        <v>2.958672E-2</v>
      </c>
      <c r="F138" s="1">
        <f t="shared" si="2"/>
        <v>2.9717920000000005E-2</v>
      </c>
      <c r="G138" s="2">
        <f t="shared" si="3"/>
        <v>1.7732765857586999E-4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67</v>
      </c>
      <c r="D142" s="68">
        <f>D21</f>
        <v>67</v>
      </c>
      <c r="E142" s="68">
        <f>E21</f>
        <v>66</v>
      </c>
      <c r="F142" s="1">
        <f t="shared" ref="F142:F151" si="4">AVERAGE(C142:E142)</f>
        <v>66.666666666666671</v>
      </c>
      <c r="G142" s="2">
        <f t="shared" ref="G142:G151" si="5">_xlfn.STDEV.P(C142:E142)</f>
        <v>0.47140452079103168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>D16</f>
        <v>1.7194640000000001</v>
      </c>
      <c r="E143" s="68">
        <f>E16</f>
        <v>1.7194640000000001</v>
      </c>
      <c r="F143" s="1">
        <f t="shared" si="4"/>
        <v>1.7194640000000001</v>
      </c>
      <c r="G143" s="2">
        <f t="shared" si="5"/>
        <v>0</v>
      </c>
    </row>
    <row r="144" spans="1:7" ht="14.45" customHeight="1" x14ac:dyDescent="0.25">
      <c r="A144" s="172"/>
      <c r="B144" s="69" t="s">
        <v>106</v>
      </c>
      <c r="C144" s="68">
        <f>C22</f>
        <v>179.30994775115968</v>
      </c>
      <c r="D144" s="68">
        <f>D22</f>
        <v>181.55250706033976</v>
      </c>
      <c r="E144" s="68">
        <f>E22</f>
        <v>179.2389954078713</v>
      </c>
      <c r="F144" s="1">
        <f t="shared" si="4"/>
        <v>180.03381673979024</v>
      </c>
      <c r="G144" s="2">
        <f t="shared" si="5"/>
        <v>1.0742668123120436</v>
      </c>
    </row>
    <row r="145" spans="1:7" ht="14.45" customHeight="1" x14ac:dyDescent="0.25">
      <c r="A145" s="172"/>
      <c r="B145" s="69" t="s">
        <v>107</v>
      </c>
      <c r="C145" s="68">
        <f>C24</f>
        <v>39.967073196882453</v>
      </c>
      <c r="D145" s="68">
        <f>D24</f>
        <v>39.216264886757422</v>
      </c>
      <c r="E145" s="68">
        <f>E24</f>
        <v>39.081598145699502</v>
      </c>
      <c r="F145" s="1">
        <f t="shared" si="4"/>
        <v>39.421645409779792</v>
      </c>
      <c r="G145" s="2">
        <f t="shared" si="5"/>
        <v>0.3895744567213214</v>
      </c>
    </row>
    <row r="146" spans="1:7" ht="14.45" customHeight="1" thickBot="1" x14ac:dyDescent="0.3">
      <c r="A146" s="173"/>
      <c r="B146" s="70" t="s">
        <v>108</v>
      </c>
      <c r="C146" s="68">
        <v>85</v>
      </c>
      <c r="D146" s="68">
        <v>85</v>
      </c>
      <c r="E146" s="68">
        <v>85</v>
      </c>
      <c r="F146" s="1">
        <f t="shared" si="4"/>
        <v>85</v>
      </c>
      <c r="G146" s="2">
        <f t="shared" si="5"/>
        <v>0</v>
      </c>
    </row>
    <row r="148" spans="1:7" x14ac:dyDescent="0.25">
      <c r="A148" s="168" t="s">
        <v>109</v>
      </c>
      <c r="B148" s="94" t="s">
        <v>110</v>
      </c>
      <c r="D148" s="97">
        <v>5.0199999999999996</v>
      </c>
      <c r="E148" s="97">
        <v>4.95</v>
      </c>
      <c r="F148" s="1">
        <f t="shared" si="4"/>
        <v>4.9849999999999994</v>
      </c>
      <c r="G148" s="2">
        <f t="shared" si="5"/>
        <v>3.4999999999999698E-2</v>
      </c>
    </row>
    <row r="149" spans="1:7" x14ac:dyDescent="0.25">
      <c r="A149" s="169"/>
      <c r="B149" s="95" t="s">
        <v>111</v>
      </c>
      <c r="D149" s="97">
        <v>4.6100000000000003</v>
      </c>
      <c r="E149" s="97">
        <v>4.49</v>
      </c>
      <c r="F149" s="1">
        <f t="shared" si="4"/>
        <v>4.5500000000000007</v>
      </c>
      <c r="G149" s="2">
        <f t="shared" si="5"/>
        <v>6.0000000000000053E-2</v>
      </c>
    </row>
    <row r="150" spans="1:7" x14ac:dyDescent="0.25">
      <c r="A150" s="169"/>
      <c r="B150" s="95" t="s">
        <v>112</v>
      </c>
      <c r="D150" s="97">
        <v>3.3</v>
      </c>
      <c r="E150" s="97">
        <v>2.82</v>
      </c>
      <c r="F150" s="1">
        <f t="shared" si="4"/>
        <v>3.0599999999999996</v>
      </c>
      <c r="G150" s="2">
        <f t="shared" si="5"/>
        <v>0.24</v>
      </c>
    </row>
    <row r="151" spans="1:7" ht="15.75" thickBot="1" x14ac:dyDescent="0.3">
      <c r="A151" s="170"/>
      <c r="B151" s="96" t="s">
        <v>113</v>
      </c>
      <c r="D151" s="97">
        <v>4.66</v>
      </c>
      <c r="E151" s="97">
        <v>4.5199999999999996</v>
      </c>
      <c r="F151" s="1">
        <f t="shared" si="4"/>
        <v>4.59</v>
      </c>
      <c r="G151" s="2">
        <f t="shared" si="5"/>
        <v>7.0000000000000284E-2</v>
      </c>
    </row>
  </sheetData>
  <sortState xmlns:xlrd2="http://schemas.microsoft.com/office/spreadsheetml/2017/richdata2" columnSort="1" ref="C1:G154">
    <sortCondition descending="1" ref="C55:G55"/>
  </sortState>
  <mergeCells count="11">
    <mergeCell ref="A81:A92"/>
    <mergeCell ref="A1:A30"/>
    <mergeCell ref="A33:A44"/>
    <mergeCell ref="A45:A56"/>
    <mergeCell ref="A57:A67"/>
    <mergeCell ref="A68:A78"/>
    <mergeCell ref="A148:A151"/>
    <mergeCell ref="A137:A146"/>
    <mergeCell ref="A93:A104"/>
    <mergeCell ref="A111:A122"/>
    <mergeCell ref="A123:A1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1"/>
  <sheetViews>
    <sheetView zoomScale="90" zoomScaleNormal="90" workbookViewId="0">
      <pane ySplit="1" topLeftCell="A148" activePane="bottomLeft" state="frozen"/>
      <selection pane="bottomLeft" activeCell="A153" sqref="A153:XFD153"/>
    </sheetView>
  </sheetViews>
  <sheetFormatPr defaultRowHeight="15" x14ac:dyDescent="0.25"/>
  <cols>
    <col min="1" max="1" width="14.28515625" customWidth="1"/>
    <col min="2" max="2" width="43.140625" style="27" customWidth="1"/>
    <col min="3" max="5" width="20.42578125" bestFit="1" customWidth="1"/>
    <col min="6" max="6" width="13.28515625" style="1" bestFit="1" customWidth="1"/>
    <col min="7" max="7" width="17.5703125" style="2" bestFit="1" customWidth="1"/>
  </cols>
  <sheetData>
    <row r="1" spans="1:7" x14ac:dyDescent="0.25">
      <c r="A1" s="164" t="s">
        <v>24</v>
      </c>
      <c r="B1" s="16" t="s">
        <v>25</v>
      </c>
      <c r="C1" t="s">
        <v>195</v>
      </c>
      <c r="D1" t="s">
        <v>196</v>
      </c>
      <c r="E1" t="s">
        <v>197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0.95</v>
      </c>
      <c r="D5" s="8">
        <v>0.8</v>
      </c>
      <c r="E5" s="8">
        <v>0.8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s="8" t="s">
        <v>198</v>
      </c>
      <c r="D8" s="8" t="s">
        <v>199</v>
      </c>
      <c r="E8" s="8" t="s">
        <v>200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3.6384300000000001E-2</v>
      </c>
      <c r="D12" s="8">
        <v>3.65481E-2</v>
      </c>
      <c r="E12" s="8">
        <v>3.6629500000000002E-2</v>
      </c>
      <c r="F12" s="1">
        <f>AVERAGE(C12:E12)</f>
        <v>3.6520633333333337E-2</v>
      </c>
      <c r="G12" s="2">
        <f>_xlfn.STDEV.P(C12:E12)</f>
        <v>1.0196918924633853E-4</v>
      </c>
    </row>
    <row r="13" spans="1:7" x14ac:dyDescent="0.25">
      <c r="A13" s="164"/>
      <c r="B13" s="21" t="s">
        <v>49</v>
      </c>
      <c r="C13" s="8">
        <v>74</v>
      </c>
      <c r="D13" s="8">
        <v>74</v>
      </c>
      <c r="E13" s="8">
        <v>74</v>
      </c>
      <c r="F13" s="1">
        <f t="shared" ref="F13:F76" si="0">AVERAGE(C13:E13)</f>
        <v>74</v>
      </c>
      <c r="G13" s="2">
        <f t="shared" ref="G13:G76" si="1">_xlfn.STDEV.P(C13:E13)</f>
        <v>0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3.0814300000000003E-2</v>
      </c>
      <c r="D18" s="11">
        <f>D12-D14</f>
        <v>3.0978100000000001E-2</v>
      </c>
      <c r="E18" s="11">
        <f>E12-E14</f>
        <v>3.1059500000000004E-2</v>
      </c>
      <c r="F18" s="1">
        <f t="shared" si="0"/>
        <v>3.0950633333333338E-2</v>
      </c>
      <c r="G18" s="2">
        <f t="shared" si="1"/>
        <v>1.0196918924633853E-4</v>
      </c>
    </row>
    <row r="19" spans="1:7" x14ac:dyDescent="0.25">
      <c r="A19" s="164"/>
      <c r="B19" s="23" t="s">
        <v>55</v>
      </c>
      <c r="C19" s="12">
        <f>C18*C10/100*C11</f>
        <v>4.8809851200000001</v>
      </c>
      <c r="D19" s="12">
        <f>D18*D10/100*D11</f>
        <v>4.9069310399999999</v>
      </c>
      <c r="E19" s="12">
        <f>E18*E10/100*E11</f>
        <v>4.9198248000000007</v>
      </c>
      <c r="F19" s="1">
        <f t="shared" si="0"/>
        <v>4.9025803200000002</v>
      </c>
      <c r="G19" s="2">
        <f t="shared" si="1"/>
        <v>1.6151919576620186E-2</v>
      </c>
    </row>
    <row r="20" spans="1:7" x14ac:dyDescent="0.25">
      <c r="A20" s="164"/>
      <c r="B20" s="23" t="s">
        <v>56</v>
      </c>
      <c r="C20" s="12">
        <f>C19/C16</f>
        <v>2.8386666542596992</v>
      </c>
      <c r="D20" s="12">
        <f>D19/D16</f>
        <v>2.8537561937906228</v>
      </c>
      <c r="E20" s="12">
        <f>E19/E16</f>
        <v>2.861254902690606</v>
      </c>
      <c r="F20" s="1">
        <f t="shared" si="0"/>
        <v>2.8512259169136427</v>
      </c>
      <c r="G20" s="2">
        <f t="shared" si="1"/>
        <v>9.3935782177586996E-3</v>
      </c>
    </row>
    <row r="21" spans="1:7" x14ac:dyDescent="0.25">
      <c r="A21" s="164"/>
      <c r="B21" s="22" t="s">
        <v>57</v>
      </c>
      <c r="C21" s="13">
        <f>C13-C15</f>
        <v>61</v>
      </c>
      <c r="D21" s="13">
        <f>D13-D15</f>
        <v>61</v>
      </c>
      <c r="E21" s="13">
        <f>E13-E15</f>
        <v>61</v>
      </c>
      <c r="F21" s="1">
        <f t="shared" si="0"/>
        <v>61</v>
      </c>
      <c r="G21" s="2">
        <f t="shared" si="1"/>
        <v>0</v>
      </c>
    </row>
    <row r="22" spans="1:7" x14ac:dyDescent="0.25">
      <c r="A22" s="164"/>
      <c r="B22" s="22" t="s">
        <v>58</v>
      </c>
      <c r="C22" s="13">
        <f>C18/(C16/10^4)</f>
        <v>179.20875342548609</v>
      </c>
      <c r="D22" s="13">
        <f>D18/(D16/10^4)</f>
        <v>180.16137587062016</v>
      </c>
      <c r="E22" s="13">
        <f>E18/(E16/10^4)</f>
        <v>180.63477921026555</v>
      </c>
      <c r="F22" s="1">
        <f t="shared" si="0"/>
        <v>180.00163616879058</v>
      </c>
      <c r="G22" s="2">
        <f t="shared" si="1"/>
        <v>0.59302892788880179</v>
      </c>
    </row>
    <row r="23" spans="1:7" x14ac:dyDescent="0.25">
      <c r="A23" s="164"/>
      <c r="B23" s="22" t="s">
        <v>59</v>
      </c>
      <c r="C23" s="13">
        <f>C18/C16/(C21/10^4)</f>
        <v>2.9378484168112475</v>
      </c>
      <c r="D23" s="13">
        <f>D18/D16/(D21/10^4)</f>
        <v>2.9534651782068875</v>
      </c>
      <c r="E23" s="13">
        <f>E18/E16/(E21/10^4)</f>
        <v>2.9612258886928777</v>
      </c>
      <c r="F23" s="1">
        <f t="shared" si="0"/>
        <v>2.9508464945703374</v>
      </c>
      <c r="G23" s="2">
        <f t="shared" si="1"/>
        <v>9.7217857030949904E-3</v>
      </c>
    </row>
    <row r="24" spans="1:7" x14ac:dyDescent="0.25">
      <c r="A24" s="164"/>
      <c r="B24" s="22" t="s">
        <v>60</v>
      </c>
      <c r="C24" s="13">
        <f>(1-C23/C17)*100</f>
        <v>34.099407429088217</v>
      </c>
      <c r="D24" s="13">
        <f>(1-D23/D17)*100</f>
        <v>33.749098739190508</v>
      </c>
      <c r="E24" s="13">
        <f>(1-E23/E17)*100</f>
        <v>33.575013712586866</v>
      </c>
      <c r="F24" s="1">
        <f t="shared" si="0"/>
        <v>33.807839960288533</v>
      </c>
      <c r="G24" s="2">
        <f t="shared" si="1"/>
        <v>0.21807504941890954</v>
      </c>
    </row>
    <row r="25" spans="1:7" x14ac:dyDescent="0.25">
      <c r="A25" s="164"/>
      <c r="B25" s="24" t="s">
        <v>61</v>
      </c>
      <c r="C25" s="14">
        <f>(C18*C10)/100</f>
        <v>2.9581728000000002E-2</v>
      </c>
      <c r="D25" s="14">
        <f>(D18*D10)/100</f>
        <v>2.9738976E-2</v>
      </c>
      <c r="E25" s="14">
        <f>(E18*E10)/100</f>
        <v>2.9817120000000003E-2</v>
      </c>
      <c r="F25" s="1">
        <f t="shared" si="0"/>
        <v>2.9712608000000001E-2</v>
      </c>
      <c r="G25" s="2">
        <f t="shared" si="1"/>
        <v>9.7890421676484989E-5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122</v>
      </c>
      <c r="D28" t="s">
        <v>122</v>
      </c>
      <c r="E28" t="s">
        <v>66</v>
      </c>
    </row>
    <row r="29" spans="1:7" x14ac:dyDescent="0.25">
      <c r="A29" s="164"/>
      <c r="B29" s="18" t="s">
        <v>67</v>
      </c>
      <c r="C29" t="s">
        <v>178</v>
      </c>
      <c r="D29" t="s">
        <v>123</v>
      </c>
      <c r="E29" t="s">
        <v>201</v>
      </c>
    </row>
    <row r="30" spans="1:7" x14ac:dyDescent="0.25">
      <c r="A30" s="164"/>
      <c r="B30" s="25" t="s">
        <v>71</v>
      </c>
      <c r="C30">
        <v>3.286</v>
      </c>
      <c r="D30">
        <v>3.2989999999999999</v>
      </c>
      <c r="E30">
        <v>3.3170000000000002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5.39635263</v>
      </c>
      <c r="D33" s="98">
        <v>5.4369718300000001</v>
      </c>
      <c r="E33" s="109">
        <v>5.4645278399999997</v>
      </c>
      <c r="F33" s="1">
        <f t="shared" si="0"/>
        <v>5.4326174333333332</v>
      </c>
      <c r="G33" s="2">
        <f t="shared" si="1"/>
        <v>2.8002206965214063E-2</v>
      </c>
    </row>
    <row r="34" spans="1:7" x14ac:dyDescent="0.25">
      <c r="A34" s="166"/>
      <c r="B34" s="29" t="s">
        <v>74</v>
      </c>
      <c r="C34" s="78">
        <v>4.9492898900000002</v>
      </c>
      <c r="D34" s="99">
        <v>4.9874767799999997</v>
      </c>
      <c r="E34" s="110">
        <v>4.9905559799999999</v>
      </c>
      <c r="F34" s="1">
        <f t="shared" si="0"/>
        <v>4.9757742166666672</v>
      </c>
      <c r="G34" s="2">
        <f t="shared" si="1"/>
        <v>1.8769390638306533E-2</v>
      </c>
    </row>
    <row r="35" spans="1:7" x14ac:dyDescent="0.25">
      <c r="A35" s="166"/>
      <c r="B35" s="29" t="s">
        <v>75</v>
      </c>
      <c r="C35" s="78">
        <v>4.7133418799999998</v>
      </c>
      <c r="D35" s="99">
        <v>4.7506046299999998</v>
      </c>
      <c r="E35" s="110">
        <v>4.7639336700000001</v>
      </c>
      <c r="F35" s="1">
        <f t="shared" si="0"/>
        <v>4.7426267266666668</v>
      </c>
      <c r="G35" s="2">
        <f t="shared" si="1"/>
        <v>2.1410550515233388E-2</v>
      </c>
    </row>
    <row r="36" spans="1:7" x14ac:dyDescent="0.25">
      <c r="A36" s="166"/>
      <c r="B36" s="29" t="s">
        <v>76</v>
      </c>
      <c r="C36" s="78">
        <v>4.7350648299999998</v>
      </c>
      <c r="D36" s="99">
        <v>4.7725524100000003</v>
      </c>
      <c r="E36" s="110">
        <v>4.7836599499999997</v>
      </c>
      <c r="F36" s="1">
        <f t="shared" si="0"/>
        <v>4.7637590633333327</v>
      </c>
      <c r="G36" s="2">
        <f t="shared" si="1"/>
        <v>2.0790440610269832E-2</v>
      </c>
    </row>
    <row r="37" spans="1:7" x14ac:dyDescent="0.25">
      <c r="A37" s="166"/>
      <c r="B37" s="29" t="s">
        <v>77</v>
      </c>
      <c r="C37" s="78">
        <v>4.7516195899999998</v>
      </c>
      <c r="D37" s="99">
        <v>4.7880385299999997</v>
      </c>
      <c r="E37" s="110">
        <v>4.7982731000000003</v>
      </c>
      <c r="F37" s="1">
        <f t="shared" si="0"/>
        <v>4.7793104066666663</v>
      </c>
      <c r="G37" s="2">
        <f t="shared" si="1"/>
        <v>2.0021198790639256E-2</v>
      </c>
    </row>
    <row r="38" spans="1:7" x14ac:dyDescent="0.25">
      <c r="A38" s="166"/>
      <c r="B38" s="29" t="s">
        <v>78</v>
      </c>
      <c r="C38" s="78">
        <v>4.7657241399999997</v>
      </c>
      <c r="D38" s="99">
        <v>4.8011743899999999</v>
      </c>
      <c r="E38" s="110">
        <v>4.8108435800000002</v>
      </c>
      <c r="F38" s="1">
        <f t="shared" si="0"/>
        <v>4.792580703333333</v>
      </c>
      <c r="G38" s="2">
        <f t="shared" si="1"/>
        <v>1.9396383758698354E-2</v>
      </c>
    </row>
    <row r="39" spans="1:7" x14ac:dyDescent="0.25">
      <c r="A39" s="166"/>
      <c r="B39" s="29" t="s">
        <v>79</v>
      </c>
      <c r="C39" s="78">
        <v>4.7955582999999997</v>
      </c>
      <c r="D39" s="99">
        <v>4.8300336699999997</v>
      </c>
      <c r="E39" s="110">
        <v>4.83801273</v>
      </c>
      <c r="F39" s="1">
        <f t="shared" si="0"/>
        <v>4.8212015666666659</v>
      </c>
      <c r="G39" s="2">
        <f t="shared" si="1"/>
        <v>1.8422797355889212E-2</v>
      </c>
    </row>
    <row r="40" spans="1:7" x14ac:dyDescent="0.25">
      <c r="A40" s="166"/>
      <c r="B40" s="29" t="s">
        <v>80</v>
      </c>
      <c r="C40" s="78">
        <v>4.7903032200000002</v>
      </c>
      <c r="D40" s="99">
        <v>4.8235154099999997</v>
      </c>
      <c r="E40" s="110">
        <v>4.83012832</v>
      </c>
      <c r="F40" s="1">
        <f t="shared" si="0"/>
        <v>4.8146489833333339</v>
      </c>
      <c r="G40" s="2">
        <f t="shared" si="1"/>
        <v>1.7425456261439789E-2</v>
      </c>
    </row>
    <row r="41" spans="1:7" x14ac:dyDescent="0.25">
      <c r="A41" s="166"/>
      <c r="B41" s="29" t="s">
        <v>80</v>
      </c>
      <c r="C41" s="78">
        <v>4.59037468</v>
      </c>
      <c r="D41" s="99">
        <v>4.6212686300000003</v>
      </c>
      <c r="E41" s="110">
        <v>4.6272966799999997</v>
      </c>
      <c r="F41" s="1">
        <f t="shared" si="0"/>
        <v>4.6129799966666667</v>
      </c>
      <c r="G41" s="2">
        <f t="shared" si="1"/>
        <v>1.6172705461174001E-2</v>
      </c>
    </row>
    <row r="42" spans="1:7" x14ac:dyDescent="0.25">
      <c r="A42" s="166"/>
      <c r="B42" s="29" t="s">
        <v>80</v>
      </c>
      <c r="C42" s="78">
        <v>4.3982672000000003</v>
      </c>
      <c r="D42" s="99">
        <v>4.4354071299999998</v>
      </c>
      <c r="E42" s="110">
        <v>4.4392217499999997</v>
      </c>
      <c r="F42" s="1">
        <f t="shared" si="0"/>
        <v>4.4242986933333333</v>
      </c>
      <c r="G42" s="2">
        <f t="shared" si="1"/>
        <v>1.8472805513486033E-2</v>
      </c>
    </row>
    <row r="43" spans="1:7" x14ac:dyDescent="0.25">
      <c r="A43" s="166"/>
      <c r="B43" s="29" t="s">
        <v>80</v>
      </c>
      <c r="C43" s="78">
        <v>4.4166936400000001</v>
      </c>
      <c r="D43" s="99">
        <v>3.94307695</v>
      </c>
      <c r="E43" s="110">
        <v>3.9466806600000002</v>
      </c>
      <c r="F43" s="1">
        <f t="shared" si="0"/>
        <v>4.1021504166666665</v>
      </c>
      <c r="G43" s="2">
        <f t="shared" si="1"/>
        <v>0.22242051192899367</v>
      </c>
    </row>
    <row r="44" spans="1:7" ht="15.75" thickBot="1" x14ac:dyDescent="0.3">
      <c r="A44" s="167"/>
      <c r="B44" s="30" t="s">
        <v>80</v>
      </c>
      <c r="C44" s="81">
        <v>2.19446392</v>
      </c>
      <c r="D44" s="100">
        <v>2.2307811100000001</v>
      </c>
      <c r="E44" s="111">
        <v>2.6036300300000002</v>
      </c>
      <c r="F44" s="1">
        <f t="shared" si="0"/>
        <v>2.3429583533333336</v>
      </c>
      <c r="G44" s="2">
        <f t="shared" si="1"/>
        <v>0.18491804821691951</v>
      </c>
    </row>
    <row r="45" spans="1:7" ht="15.75" thickTop="1" x14ac:dyDescent="0.25">
      <c r="A45" s="165" t="s">
        <v>81</v>
      </c>
      <c r="B45" s="28" t="s">
        <v>73</v>
      </c>
      <c r="C45" s="78">
        <v>4.93555324</v>
      </c>
      <c r="D45" s="99">
        <v>4.9670344499999999</v>
      </c>
      <c r="E45" s="110">
        <v>4.96829184</v>
      </c>
      <c r="F45" s="1">
        <f t="shared" si="0"/>
        <v>4.9569598433333333</v>
      </c>
      <c r="G45" s="2">
        <f t="shared" si="1"/>
        <v>1.5145456020559065E-2</v>
      </c>
    </row>
    <row r="46" spans="1:7" x14ac:dyDescent="0.25">
      <c r="A46" s="166"/>
      <c r="B46" s="29" t="s">
        <v>74</v>
      </c>
      <c r="C46" s="78">
        <v>4.7053923600000003</v>
      </c>
      <c r="D46" s="99">
        <v>4.7394689699999999</v>
      </c>
      <c r="E46" s="110">
        <v>4.75187911</v>
      </c>
      <c r="F46" s="1">
        <f t="shared" si="0"/>
        <v>4.7322468133333331</v>
      </c>
      <c r="G46" s="2">
        <f t="shared" si="1"/>
        <v>1.9653229447583156E-2</v>
      </c>
    </row>
    <row r="47" spans="1:7" x14ac:dyDescent="0.25">
      <c r="A47" s="166"/>
      <c r="B47" s="29" t="s">
        <v>75</v>
      </c>
      <c r="C47" s="78">
        <v>4.7268103699999999</v>
      </c>
      <c r="D47" s="99">
        <v>4.7614091700000003</v>
      </c>
      <c r="E47" s="110">
        <v>4.7715958599999997</v>
      </c>
      <c r="F47" s="1">
        <f t="shared" si="0"/>
        <v>4.7532717999999994</v>
      </c>
      <c r="G47" s="2">
        <f t="shared" si="1"/>
        <v>1.9167639769895141E-2</v>
      </c>
    </row>
    <row r="48" spans="1:7" x14ac:dyDescent="0.25">
      <c r="A48" s="166"/>
      <c r="B48" s="29" t="s">
        <v>76</v>
      </c>
      <c r="C48" s="78">
        <v>4.7437972100000003</v>
      </c>
      <c r="D48" s="99">
        <v>4.7775632699999999</v>
      </c>
      <c r="E48" s="110">
        <v>4.7867614700000001</v>
      </c>
      <c r="F48" s="1">
        <f t="shared" si="0"/>
        <v>4.7693739833333337</v>
      </c>
      <c r="G48" s="2">
        <f t="shared" si="1"/>
        <v>1.847124290022242E-2</v>
      </c>
    </row>
    <row r="49" spans="1:7" x14ac:dyDescent="0.25">
      <c r="A49" s="166"/>
      <c r="B49" s="29" t="s">
        <v>77</v>
      </c>
      <c r="C49" s="78">
        <v>4.7586664499999998</v>
      </c>
      <c r="D49" s="99">
        <v>4.7912680300000003</v>
      </c>
      <c r="E49" s="110">
        <v>4.7998211800000004</v>
      </c>
      <c r="F49" s="1">
        <f t="shared" si="0"/>
        <v>4.7832518866666671</v>
      </c>
      <c r="G49" s="2">
        <f t="shared" si="1"/>
        <v>1.7731739260408112E-2</v>
      </c>
    </row>
    <row r="50" spans="1:7" x14ac:dyDescent="0.25">
      <c r="A50" s="166"/>
      <c r="B50" s="29" t="s">
        <v>78</v>
      </c>
      <c r="C50" s="78">
        <v>4.7712534800000004</v>
      </c>
      <c r="D50" s="99">
        <v>4.8030259199999996</v>
      </c>
      <c r="E50" s="110">
        <v>4.8099901300000001</v>
      </c>
      <c r="F50" s="1">
        <f t="shared" si="0"/>
        <v>4.79475651</v>
      </c>
      <c r="G50" s="2">
        <f t="shared" si="1"/>
        <v>1.6860592508700856E-2</v>
      </c>
    </row>
    <row r="51" spans="1:7" x14ac:dyDescent="0.25">
      <c r="A51" s="166"/>
      <c r="B51" s="29" t="s">
        <v>79</v>
      </c>
      <c r="C51" s="78">
        <v>4.7985565699999997</v>
      </c>
      <c r="D51" s="99">
        <v>4.8285708300000003</v>
      </c>
      <c r="E51" s="110">
        <v>4.8345115999999999</v>
      </c>
      <c r="F51" s="1">
        <f t="shared" si="0"/>
        <v>4.8205463333333327</v>
      </c>
      <c r="G51" s="2">
        <f t="shared" si="1"/>
        <v>1.573712077944462E-2</v>
      </c>
    </row>
    <row r="52" spans="1:7" x14ac:dyDescent="0.25">
      <c r="A52" s="166"/>
      <c r="B52" s="29" t="s">
        <v>82</v>
      </c>
      <c r="C52" s="78">
        <v>4.58939407</v>
      </c>
      <c r="D52" s="99">
        <v>4.6146716200000002</v>
      </c>
      <c r="E52" s="110">
        <v>4.61885967</v>
      </c>
      <c r="F52" s="1">
        <f t="shared" si="0"/>
        <v>4.6076417866666661</v>
      </c>
      <c r="G52" s="2">
        <f t="shared" si="1"/>
        <v>1.3015870142786832E-2</v>
      </c>
    </row>
    <row r="53" spans="1:7" x14ac:dyDescent="0.25">
      <c r="A53" s="166"/>
      <c r="B53" s="29" t="s">
        <v>83</v>
      </c>
      <c r="C53" s="78">
        <v>4.3951656100000003</v>
      </c>
      <c r="D53" s="99">
        <v>4.42948524</v>
      </c>
      <c r="E53" s="110">
        <v>4.4321121000000003</v>
      </c>
      <c r="F53" s="1">
        <f t="shared" si="0"/>
        <v>4.4189209833333338</v>
      </c>
      <c r="G53" s="2">
        <f t="shared" si="1"/>
        <v>1.6831783823457947E-2</v>
      </c>
    </row>
    <row r="54" spans="1:7" x14ac:dyDescent="0.25">
      <c r="A54" s="166"/>
      <c r="B54" s="29" t="s">
        <v>84</v>
      </c>
      <c r="C54" s="78">
        <v>4.0543688500000004</v>
      </c>
      <c r="D54" s="99">
        <v>4.1367649100000001</v>
      </c>
      <c r="E54" s="110">
        <v>4.1435092999999998</v>
      </c>
      <c r="F54" s="1">
        <f t="shared" si="0"/>
        <v>4.1115476866666665</v>
      </c>
      <c r="G54" s="2">
        <f t="shared" si="1"/>
        <v>4.0525187402675973E-2</v>
      </c>
    </row>
    <row r="55" spans="1:7" x14ac:dyDescent="0.25">
      <c r="A55" s="166"/>
      <c r="B55" s="29" t="s">
        <v>85</v>
      </c>
      <c r="C55" s="78">
        <v>2.2023100699999998</v>
      </c>
      <c r="D55" s="99">
        <v>2.2279564299999999</v>
      </c>
      <c r="E55" s="110">
        <v>2.5998342999999999</v>
      </c>
      <c r="F55" s="1">
        <f t="shared" si="0"/>
        <v>2.3433669333333333</v>
      </c>
      <c r="G55" s="2">
        <f t="shared" si="1"/>
        <v>0.18165180349414511</v>
      </c>
    </row>
    <row r="56" spans="1:7" ht="15.75" thickBot="1" x14ac:dyDescent="0.3">
      <c r="A56" s="167"/>
      <c r="B56" s="30" t="s">
        <v>86</v>
      </c>
      <c r="C56" s="81">
        <v>0.55070401000000002</v>
      </c>
      <c r="D56" s="100">
        <v>0.61746323999999997</v>
      </c>
      <c r="E56" s="111">
        <v>0.76122906999999995</v>
      </c>
      <c r="F56" s="1">
        <f t="shared" si="0"/>
        <v>0.64313210666666665</v>
      </c>
      <c r="G56" s="2">
        <f t="shared" si="1"/>
        <v>8.7842162461862092E-2</v>
      </c>
    </row>
    <row r="57" spans="1:7" ht="15.75" thickTop="1" x14ac:dyDescent="0.25">
      <c r="A57" s="165" t="s">
        <v>87</v>
      </c>
      <c r="B57" s="31">
        <v>0.9</v>
      </c>
      <c r="C57" s="84">
        <v>19.573821899999999</v>
      </c>
      <c r="D57" s="85">
        <v>19.3225911</v>
      </c>
      <c r="E57" s="112">
        <v>20.323225399999998</v>
      </c>
      <c r="F57" s="1">
        <f t="shared" si="0"/>
        <v>19.739879466666665</v>
      </c>
      <c r="G57" s="2">
        <f t="shared" si="1"/>
        <v>0.42504790880524079</v>
      </c>
    </row>
    <row r="58" spans="1:7" x14ac:dyDescent="0.25">
      <c r="A58" s="166"/>
      <c r="B58" s="32">
        <v>0.8</v>
      </c>
      <c r="C58" s="87">
        <v>20.477271200000001</v>
      </c>
      <c r="D58" s="101">
        <v>20.627556200000001</v>
      </c>
      <c r="E58" s="113">
        <v>20.9887014</v>
      </c>
      <c r="F58" s="1">
        <f t="shared" si="0"/>
        <v>20.697842933333334</v>
      </c>
      <c r="G58" s="2">
        <f t="shared" si="1"/>
        <v>0.21462429348361783</v>
      </c>
    </row>
    <row r="59" spans="1:7" x14ac:dyDescent="0.25">
      <c r="A59" s="166"/>
      <c r="B59" s="32">
        <v>0.7</v>
      </c>
      <c r="C59" s="78">
        <v>21.904299099999999</v>
      </c>
      <c r="D59" s="79">
        <v>22.2683833</v>
      </c>
      <c r="E59" s="114">
        <v>21.679644</v>
      </c>
      <c r="F59" s="1">
        <f t="shared" si="0"/>
        <v>21.950775466666666</v>
      </c>
      <c r="G59" s="2">
        <f t="shared" si="1"/>
        <v>0.24258816999876345</v>
      </c>
    </row>
    <row r="60" spans="1:7" x14ac:dyDescent="0.25">
      <c r="A60" s="166"/>
      <c r="B60" s="32">
        <v>0.6</v>
      </c>
      <c r="C60" s="78">
        <v>24.337439400000001</v>
      </c>
      <c r="D60" s="79">
        <v>25.238357000000001</v>
      </c>
      <c r="E60" s="114">
        <v>23.405903500000001</v>
      </c>
      <c r="F60" s="1">
        <f t="shared" si="0"/>
        <v>24.3272333</v>
      </c>
      <c r="G60" s="2">
        <f t="shared" si="1"/>
        <v>0.74813081778232249</v>
      </c>
    </row>
    <row r="61" spans="1:7" x14ac:dyDescent="0.25">
      <c r="A61" s="166"/>
      <c r="B61" s="32">
        <v>0.5</v>
      </c>
      <c r="C61" s="78">
        <v>29.7796117</v>
      </c>
      <c r="D61" s="79">
        <v>32.075790300000001</v>
      </c>
      <c r="E61" s="114">
        <v>26.815520100000001</v>
      </c>
      <c r="F61" s="1">
        <f t="shared" si="0"/>
        <v>29.556974033333333</v>
      </c>
      <c r="G61" s="2">
        <f t="shared" si="1"/>
        <v>2.1532589706792655</v>
      </c>
    </row>
    <row r="62" spans="1:7" x14ac:dyDescent="0.25">
      <c r="A62" s="166"/>
      <c r="B62" s="32">
        <v>0.4</v>
      </c>
      <c r="C62" s="78">
        <v>44.984217999999998</v>
      </c>
      <c r="D62" s="79">
        <v>51.167676800000002</v>
      </c>
      <c r="E62" s="114">
        <v>34.702574400000003</v>
      </c>
      <c r="F62" s="1">
        <f t="shared" si="0"/>
        <v>43.618156400000004</v>
      </c>
      <c r="G62" s="2">
        <f t="shared" si="1"/>
        <v>6.7909004057815858</v>
      </c>
    </row>
    <row r="63" spans="1:7" x14ac:dyDescent="0.25">
      <c r="A63" s="166"/>
      <c r="B63" s="32">
        <v>0.3</v>
      </c>
      <c r="C63" s="78">
        <v>66.311053599999994</v>
      </c>
      <c r="D63" s="79">
        <v>63.417402000000003</v>
      </c>
      <c r="E63" s="114">
        <v>55.082386200000002</v>
      </c>
      <c r="F63" s="1">
        <f t="shared" si="0"/>
        <v>61.603613933333328</v>
      </c>
      <c r="G63" s="2">
        <f t="shared" si="1"/>
        <v>4.7601199745414293</v>
      </c>
    </row>
    <row r="64" spans="1:7" x14ac:dyDescent="0.25">
      <c r="A64" s="166"/>
      <c r="B64" s="32">
        <v>0.2</v>
      </c>
      <c r="C64" s="78">
        <v>66.897213899999997</v>
      </c>
      <c r="D64" s="79">
        <v>64.593729400000001</v>
      </c>
      <c r="E64" s="114">
        <v>61.913396599999999</v>
      </c>
      <c r="F64" s="1">
        <f t="shared" si="0"/>
        <v>64.468113299999999</v>
      </c>
      <c r="G64" s="2">
        <f t="shared" si="1"/>
        <v>2.0365728194492543</v>
      </c>
    </row>
    <row r="65" spans="1:7" x14ac:dyDescent="0.25">
      <c r="A65" s="166"/>
      <c r="B65" s="32">
        <v>0.1</v>
      </c>
      <c r="C65" s="78">
        <v>71.805046500000003</v>
      </c>
      <c r="D65" s="79">
        <v>69.491347200000007</v>
      </c>
      <c r="E65" s="114">
        <v>66.8412407</v>
      </c>
      <c r="F65" s="1">
        <f t="shared" si="0"/>
        <v>69.379211466666675</v>
      </c>
      <c r="G65" s="2">
        <f t="shared" si="1"/>
        <v>2.0280159141463154</v>
      </c>
    </row>
    <row r="66" spans="1:7" x14ac:dyDescent="0.25">
      <c r="A66" s="166"/>
      <c r="B66" s="32">
        <v>0.5</v>
      </c>
      <c r="C66" s="78">
        <v>17.335700800000001</v>
      </c>
      <c r="D66" s="79">
        <v>17.627087299999999</v>
      </c>
      <c r="E66" s="114">
        <v>19.1935362</v>
      </c>
      <c r="F66" s="1">
        <f t="shared" si="0"/>
        <v>18.052108099999998</v>
      </c>
      <c r="G66" s="2">
        <f t="shared" si="1"/>
        <v>0.8158309071933022</v>
      </c>
    </row>
    <row r="67" spans="1:7" ht="15.75" thickBot="1" x14ac:dyDescent="0.3">
      <c r="A67" s="167"/>
      <c r="B67" s="33">
        <v>0.2</v>
      </c>
      <c r="C67" s="81">
        <v>52.646257200000001</v>
      </c>
      <c r="D67" s="82">
        <v>54.669675499999997</v>
      </c>
      <c r="E67" s="115">
        <v>34.7643877</v>
      </c>
      <c r="F67" s="1">
        <f t="shared" si="0"/>
        <v>47.360106800000004</v>
      </c>
      <c r="G67" s="2">
        <f t="shared" si="1"/>
        <v>8.9447437130705332</v>
      </c>
    </row>
    <row r="68" spans="1:7" ht="15.75" thickTop="1" x14ac:dyDescent="0.25">
      <c r="A68" s="165" t="s">
        <v>88</v>
      </c>
      <c r="B68" s="31">
        <v>0.9</v>
      </c>
      <c r="C68" s="78">
        <v>19.9183524</v>
      </c>
      <c r="D68" s="79">
        <v>19.7670323</v>
      </c>
      <c r="E68" s="114">
        <v>20.765075</v>
      </c>
      <c r="F68" s="1">
        <f t="shared" si="0"/>
        <v>20.150153233333331</v>
      </c>
      <c r="G68" s="2">
        <f t="shared" si="1"/>
        <v>0.43918183592246685</v>
      </c>
    </row>
    <row r="69" spans="1:7" x14ac:dyDescent="0.25">
      <c r="A69" s="166"/>
      <c r="B69" s="32">
        <v>0.8</v>
      </c>
      <c r="C69" s="78">
        <v>20.922551500000001</v>
      </c>
      <c r="D69" s="79">
        <v>21.1149746</v>
      </c>
      <c r="E69" s="114">
        <v>21.471697800000001</v>
      </c>
      <c r="F69" s="1">
        <f t="shared" si="0"/>
        <v>21.169741300000002</v>
      </c>
      <c r="G69" s="2">
        <f t="shared" si="1"/>
        <v>0.2275081804721025</v>
      </c>
    </row>
    <row r="70" spans="1:7" x14ac:dyDescent="0.25">
      <c r="A70" s="166"/>
      <c r="B70" s="32">
        <v>0.7</v>
      </c>
      <c r="C70" s="78">
        <v>22.347785600000002</v>
      </c>
      <c r="D70" s="79">
        <v>22.869634300000001</v>
      </c>
      <c r="E70" s="114">
        <v>22.1334488</v>
      </c>
      <c r="F70" s="1">
        <f t="shared" si="0"/>
        <v>22.450289566666669</v>
      </c>
      <c r="G70" s="2">
        <f t="shared" si="1"/>
        <v>0.30916292359570297</v>
      </c>
    </row>
    <row r="71" spans="1:7" x14ac:dyDescent="0.25">
      <c r="A71" s="166"/>
      <c r="B71" s="32">
        <v>0.6</v>
      </c>
      <c r="C71" s="78">
        <v>24.936586599999998</v>
      </c>
      <c r="D71" s="79">
        <v>25.989955500000001</v>
      </c>
      <c r="E71" s="114">
        <v>23.823339000000001</v>
      </c>
      <c r="F71" s="1">
        <f t="shared" si="0"/>
        <v>24.916627033333331</v>
      </c>
      <c r="G71" s="2">
        <f t="shared" si="1"/>
        <v>0.8846300743791925</v>
      </c>
    </row>
    <row r="72" spans="1:7" x14ac:dyDescent="0.25">
      <c r="A72" s="166"/>
      <c r="B72" s="32">
        <v>0.5</v>
      </c>
      <c r="C72" s="78">
        <v>30.5661782</v>
      </c>
      <c r="D72" s="79">
        <v>32.906444200000003</v>
      </c>
      <c r="E72" s="114">
        <v>27.3987765</v>
      </c>
      <c r="F72" s="1">
        <f t="shared" si="0"/>
        <v>30.290466300000002</v>
      </c>
      <c r="G72" s="2">
        <f t="shared" si="1"/>
        <v>2.2569320861525033</v>
      </c>
    </row>
    <row r="73" spans="1:7" x14ac:dyDescent="0.25">
      <c r="A73" s="166"/>
      <c r="B73" s="32">
        <v>0.4</v>
      </c>
      <c r="C73" s="78">
        <v>44.69453</v>
      </c>
      <c r="D73" s="79">
        <v>48.848183599999999</v>
      </c>
      <c r="E73" s="114">
        <v>35.3153936</v>
      </c>
      <c r="F73" s="1">
        <f t="shared" si="0"/>
        <v>42.9527024</v>
      </c>
      <c r="G73" s="2">
        <f t="shared" si="1"/>
        <v>5.6603635829697811</v>
      </c>
    </row>
    <row r="74" spans="1:7" x14ac:dyDescent="0.25">
      <c r="A74" s="166"/>
      <c r="B74" s="32">
        <v>0.3</v>
      </c>
      <c r="C74" s="78">
        <v>60.026757099999998</v>
      </c>
      <c r="D74" s="79">
        <v>57.177883899999998</v>
      </c>
      <c r="E74" s="114">
        <v>52.958753999999999</v>
      </c>
      <c r="F74" s="1">
        <f t="shared" si="0"/>
        <v>56.721131666666658</v>
      </c>
      <c r="G74" s="2">
        <f t="shared" si="1"/>
        <v>2.9035190037141296</v>
      </c>
    </row>
    <row r="75" spans="1:7" x14ac:dyDescent="0.25">
      <c r="A75" s="166"/>
      <c r="B75" s="32">
        <v>0.2</v>
      </c>
      <c r="C75" s="78">
        <v>62.559490599999997</v>
      </c>
      <c r="D75" s="79">
        <v>60.151712699999997</v>
      </c>
      <c r="E75" s="114">
        <v>60.518779700000003</v>
      </c>
      <c r="F75" s="1">
        <f t="shared" si="0"/>
        <v>61.076661000000001</v>
      </c>
      <c r="G75" s="2">
        <f t="shared" si="1"/>
        <v>1.0591733451452807</v>
      </c>
    </row>
    <row r="76" spans="1:7" x14ac:dyDescent="0.25">
      <c r="A76" s="166"/>
      <c r="B76" s="32">
        <v>0.1</v>
      </c>
      <c r="C76" s="78">
        <v>107.431543</v>
      </c>
      <c r="D76" s="79">
        <v>106.638716</v>
      </c>
      <c r="E76" s="114">
        <v>113.74749</v>
      </c>
      <c r="F76" s="1">
        <f t="shared" si="0"/>
        <v>109.27258300000001</v>
      </c>
      <c r="G76" s="2">
        <f t="shared" si="1"/>
        <v>3.1807481464763372</v>
      </c>
    </row>
    <row r="77" spans="1:7" x14ac:dyDescent="0.25">
      <c r="A77" s="166"/>
      <c r="B77" s="32">
        <v>0.5</v>
      </c>
      <c r="C77" s="78">
        <v>17.448937099999998</v>
      </c>
      <c r="D77" s="79">
        <v>17.8359457</v>
      </c>
      <c r="E77" s="114">
        <v>19.425920600000001</v>
      </c>
      <c r="F77" s="1">
        <f t="shared" ref="F77:F138" si="2">AVERAGE(C77:E77)</f>
        <v>18.236934466666668</v>
      </c>
      <c r="G77" s="2">
        <f t="shared" ref="G77:G138" si="3">_xlfn.STDEV.P(C77:E77)</f>
        <v>0.85545696679716399</v>
      </c>
    </row>
    <row r="78" spans="1:7" ht="15.75" thickBot="1" x14ac:dyDescent="0.3">
      <c r="A78" s="167"/>
      <c r="B78" s="33">
        <v>0.2</v>
      </c>
      <c r="C78" s="81">
        <v>60.034539299999999</v>
      </c>
      <c r="D78" s="82">
        <v>62.713747900000001</v>
      </c>
      <c r="E78" s="115">
        <v>40.567016700000003</v>
      </c>
      <c r="F78" s="1">
        <f t="shared" si="2"/>
        <v>54.438434633333337</v>
      </c>
      <c r="G78" s="2">
        <f t="shared" si="3"/>
        <v>9.8693706753598676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2.9581728000000002E-2</v>
      </c>
      <c r="D80">
        <f>D25</f>
        <v>2.9738976E-2</v>
      </c>
      <c r="E80">
        <f>E25</f>
        <v>2.9817120000000003E-2</v>
      </c>
      <c r="F80" s="1">
        <f t="shared" si="2"/>
        <v>2.9712608000000001E-2</v>
      </c>
      <c r="G80" s="2">
        <f t="shared" si="3"/>
        <v>9.7890421676484989E-5</v>
      </c>
    </row>
    <row r="81" spans="1:7" ht="15.75" thickTop="1" x14ac:dyDescent="0.25">
      <c r="A81" s="161" t="s">
        <v>90</v>
      </c>
      <c r="B81" s="38" t="s">
        <v>73</v>
      </c>
      <c r="C81">
        <f>C33/C80</f>
        <v>182.42181896879046</v>
      </c>
      <c r="D81">
        <f>D33/D80</f>
        <v>182.82310157552163</v>
      </c>
      <c r="E81">
        <f>E33/E80</f>
        <v>183.26813052367228</v>
      </c>
      <c r="F81" s="1">
        <f t="shared" si="2"/>
        <v>182.83768368932814</v>
      </c>
      <c r="G81" s="2">
        <f t="shared" si="3"/>
        <v>0.34565907145039226</v>
      </c>
    </row>
    <row r="82" spans="1:7" x14ac:dyDescent="0.25">
      <c r="A82" s="162"/>
      <c r="B82" s="38" t="s">
        <v>74</v>
      </c>
      <c r="C82">
        <f>C34/C80</f>
        <v>167.30901893222736</v>
      </c>
      <c r="D82">
        <f>D34/D80</f>
        <v>167.70842345076036</v>
      </c>
      <c r="E82">
        <f>E34/E80</f>
        <v>167.37216672837616</v>
      </c>
      <c r="F82" s="1">
        <f t="shared" si="2"/>
        <v>167.4632030371213</v>
      </c>
      <c r="G82" s="2">
        <f t="shared" si="3"/>
        <v>0.17530297485325222</v>
      </c>
    </row>
    <row r="83" spans="1:7" x14ac:dyDescent="0.25">
      <c r="A83" s="162"/>
      <c r="B83" s="38" t="s">
        <v>75</v>
      </c>
      <c r="C83">
        <f>C35/C80</f>
        <v>159.33287872838258</v>
      </c>
      <c r="D83">
        <f>D35/D80</f>
        <v>159.74338289253805</v>
      </c>
      <c r="E83">
        <f>E35/E80</f>
        <v>159.77175763454014</v>
      </c>
      <c r="F83" s="1">
        <f t="shared" si="2"/>
        <v>159.6160064184869</v>
      </c>
      <c r="G83" s="2">
        <f t="shared" si="3"/>
        <v>0.20053636108161904</v>
      </c>
    </row>
    <row r="84" spans="1:7" x14ac:dyDescent="0.25">
      <c r="A84" s="162"/>
      <c r="B84" s="38" t="s">
        <v>76</v>
      </c>
      <c r="C84">
        <f>C36/C80</f>
        <v>160.06721547841963</v>
      </c>
      <c r="D84">
        <f>D36/D80</f>
        <v>160.48139687123054</v>
      </c>
      <c r="E84">
        <f>E36/E80</f>
        <v>160.43333326625776</v>
      </c>
      <c r="F84" s="1">
        <f t="shared" si="2"/>
        <v>160.32731520530265</v>
      </c>
      <c r="G84" s="2">
        <f t="shared" si="3"/>
        <v>0.18496202939019696</v>
      </c>
    </row>
    <row r="85" spans="1:7" x14ac:dyDescent="0.25">
      <c r="A85" s="162"/>
      <c r="B85" s="38" t="s">
        <v>77</v>
      </c>
      <c r="C85">
        <f>C37/C80</f>
        <v>160.62684336763559</v>
      </c>
      <c r="D85">
        <f>D37/D80</f>
        <v>161.0021316806604</v>
      </c>
      <c r="E85">
        <f>E37/E80</f>
        <v>160.92342587077491</v>
      </c>
      <c r="F85" s="1">
        <f t="shared" si="2"/>
        <v>160.85080030635694</v>
      </c>
      <c r="G85" s="2">
        <f t="shared" si="3"/>
        <v>0.16158833276471551</v>
      </c>
    </row>
    <row r="86" spans="1:7" x14ac:dyDescent="0.25">
      <c r="A86" s="162"/>
      <c r="B86" s="38" t="s">
        <v>78</v>
      </c>
      <c r="C86">
        <f>C38/C80</f>
        <v>161.10364276218075</v>
      </c>
      <c r="D86">
        <f>D38/D80</f>
        <v>161.44383686916456</v>
      </c>
      <c r="E86">
        <f>E38/E80</f>
        <v>161.34501185895888</v>
      </c>
      <c r="F86" s="1">
        <f t="shared" si="2"/>
        <v>161.29749716343474</v>
      </c>
      <c r="G86" s="2">
        <f t="shared" si="3"/>
        <v>0.14288979978685498</v>
      </c>
    </row>
    <row r="87" spans="1:7" x14ac:dyDescent="0.25">
      <c r="A87" s="162"/>
      <c r="B87" s="38" t="s">
        <v>79</v>
      </c>
      <c r="C87">
        <f>C39/C80</f>
        <v>162.11217613791862</v>
      </c>
      <c r="D87">
        <f>D39/D80</f>
        <v>162.41425629450052</v>
      </c>
      <c r="E87">
        <f>E39/E80</f>
        <v>162.25620482461082</v>
      </c>
      <c r="F87" s="1">
        <f t="shared" si="2"/>
        <v>162.26087908567663</v>
      </c>
      <c r="G87" s="2">
        <f t="shared" si="3"/>
        <v>0.1233679909525944</v>
      </c>
    </row>
    <row r="88" spans="1:7" x14ac:dyDescent="0.25">
      <c r="A88" s="162"/>
      <c r="B88" s="38" t="s">
        <v>80</v>
      </c>
      <c r="C88">
        <f>C40/C80</f>
        <v>161.93452999094575</v>
      </c>
      <c r="D88">
        <f>D40/D80</f>
        <v>162.19507389898024</v>
      </c>
      <c r="E88">
        <f>E40/E80</f>
        <v>161.99177921945511</v>
      </c>
      <c r="F88" s="1">
        <f t="shared" si="2"/>
        <v>162.04046103646036</v>
      </c>
      <c r="G88" s="2">
        <f t="shared" si="3"/>
        <v>0.11179809623802893</v>
      </c>
    </row>
    <row r="89" spans="1:7" x14ac:dyDescent="0.25">
      <c r="A89" s="162"/>
      <c r="B89" s="38" t="s">
        <v>80</v>
      </c>
      <c r="C89">
        <f>C41/C80</f>
        <v>155.176015410594</v>
      </c>
      <c r="D89">
        <f>D41/D80</f>
        <v>155.39434276418933</v>
      </c>
      <c r="E89">
        <f>E41/E80</f>
        <v>155.18925637351961</v>
      </c>
      <c r="F89" s="1">
        <f t="shared" si="2"/>
        <v>155.2532048494343</v>
      </c>
      <c r="G89" s="2">
        <f t="shared" si="3"/>
        <v>9.9945865383366209E-2</v>
      </c>
    </row>
    <row r="90" spans="1:7" x14ac:dyDescent="0.25">
      <c r="A90" s="162"/>
      <c r="B90" s="38" t="s">
        <v>80</v>
      </c>
      <c r="C90">
        <f>C42/C80</f>
        <v>148.68188903636732</v>
      </c>
      <c r="D90">
        <f>D42/D80</f>
        <v>149.14458150811916</v>
      </c>
      <c r="E90">
        <f>E42/E80</f>
        <v>148.8816408157461</v>
      </c>
      <c r="F90" s="1">
        <f t="shared" si="2"/>
        <v>148.90270378674418</v>
      </c>
      <c r="G90" s="2">
        <f t="shared" si="3"/>
        <v>0.18947966894349727</v>
      </c>
    </row>
    <row r="91" spans="1:7" x14ac:dyDescent="0.25">
      <c r="A91" s="162"/>
      <c r="B91" s="38" t="s">
        <v>80</v>
      </c>
      <c r="C91">
        <f>C43/C80</f>
        <v>149.30478841533531</v>
      </c>
      <c r="D91">
        <f>D43/D80</f>
        <v>132.58953334506205</v>
      </c>
      <c r="E91">
        <f>E43/E80</f>
        <v>132.36290627666253</v>
      </c>
      <c r="F91" s="1">
        <f t="shared" si="2"/>
        <v>138.08574267901997</v>
      </c>
      <c r="G91" s="2">
        <f t="shared" si="3"/>
        <v>7.9336028126017881</v>
      </c>
    </row>
    <row r="92" spans="1:7" ht="15.75" thickBot="1" x14ac:dyDescent="0.3">
      <c r="A92" s="163"/>
      <c r="B92" s="39" t="s">
        <v>80</v>
      </c>
      <c r="C92">
        <f>C44/C80</f>
        <v>74.183087614083931</v>
      </c>
      <c r="D92">
        <f>D44/D80</f>
        <v>75.012035047877916</v>
      </c>
      <c r="E92">
        <f>E44/E80</f>
        <v>87.319970205036569</v>
      </c>
      <c r="F92" s="1">
        <f t="shared" si="2"/>
        <v>78.838364288999472</v>
      </c>
      <c r="G92" s="2">
        <f t="shared" si="3"/>
        <v>6.0069414096368554</v>
      </c>
    </row>
    <row r="93" spans="1:7" ht="15.75" thickTop="1" x14ac:dyDescent="0.25">
      <c r="A93" s="161" t="s">
        <v>91</v>
      </c>
      <c r="B93" s="40" t="s">
        <v>73</v>
      </c>
      <c r="C93">
        <f>C45/C80</f>
        <v>166.84465626889678</v>
      </c>
      <c r="D93">
        <f>D45/D80</f>
        <v>167.02103159167282</v>
      </c>
      <c r="E93">
        <f>E45/E80</f>
        <v>166.62547690722644</v>
      </c>
      <c r="F93" s="1">
        <f t="shared" si="2"/>
        <v>166.83038825593201</v>
      </c>
      <c r="G93" s="2">
        <f t="shared" si="3"/>
        <v>0.1617993803909461</v>
      </c>
    </row>
    <row r="94" spans="1:7" x14ac:dyDescent="0.25">
      <c r="A94" s="162"/>
      <c r="B94" s="38" t="s">
        <v>74</v>
      </c>
      <c r="C94">
        <f>C46/C80</f>
        <v>159.06414797675106</v>
      </c>
      <c r="D94">
        <f>D46/D80</f>
        <v>159.36893624044083</v>
      </c>
      <c r="E94">
        <f>E46/E80</f>
        <v>159.36747445762703</v>
      </c>
      <c r="F94" s="1">
        <f t="shared" si="2"/>
        <v>159.26685289160631</v>
      </c>
      <c r="G94" s="2">
        <f t="shared" si="3"/>
        <v>0.1433352621934631</v>
      </c>
    </row>
    <row r="95" spans="1:7" x14ac:dyDescent="0.25">
      <c r="A95" s="162"/>
      <c r="B95" s="38" t="s">
        <v>75</v>
      </c>
      <c r="C95">
        <f>C47/C80</f>
        <v>159.78817633641955</v>
      </c>
      <c r="D95">
        <f>D47/D80</f>
        <v>160.10669533476877</v>
      </c>
      <c r="E95">
        <f>E47/E80</f>
        <v>160.02873047430467</v>
      </c>
      <c r="F95" s="1">
        <f t="shared" si="2"/>
        <v>159.97453404849765</v>
      </c>
      <c r="G95" s="2">
        <f t="shared" si="3"/>
        <v>0.13556432053958226</v>
      </c>
    </row>
    <row r="96" spans="1:7" x14ac:dyDescent="0.25">
      <c r="A96" s="162"/>
      <c r="B96" s="38" t="s">
        <v>76</v>
      </c>
      <c r="C96">
        <f>C48/C80</f>
        <v>160.36241053937079</v>
      </c>
      <c r="D96">
        <f>D48/D80</f>
        <v>160.64989157662993</v>
      </c>
      <c r="E96">
        <f>E48/E80</f>
        <v>160.53735136056062</v>
      </c>
      <c r="F96" s="1">
        <f t="shared" si="2"/>
        <v>160.51655115885376</v>
      </c>
      <c r="G96" s="2">
        <f t="shared" si="3"/>
        <v>0.11828164971564539</v>
      </c>
    </row>
    <row r="97" spans="1:7" x14ac:dyDescent="0.25">
      <c r="A97" s="162"/>
      <c r="B97" s="38" t="s">
        <v>77</v>
      </c>
      <c r="C97">
        <f>C49/C80</f>
        <v>160.86506001272136</v>
      </c>
      <c r="D97">
        <f>D49/D80</f>
        <v>161.11072654283726</v>
      </c>
      <c r="E97">
        <f>E49/E80</f>
        <v>160.97534503667691</v>
      </c>
      <c r="F97" s="1">
        <f t="shared" si="2"/>
        <v>160.98371053074518</v>
      </c>
      <c r="G97" s="2">
        <f t="shared" si="3"/>
        <v>0.10046723221379505</v>
      </c>
    </row>
    <row r="98" spans="1:7" x14ac:dyDescent="0.25">
      <c r="A98" s="162"/>
      <c r="B98" s="38" t="s">
        <v>78</v>
      </c>
      <c r="C98">
        <f>C50/C80</f>
        <v>161.29056017282019</v>
      </c>
      <c r="D98">
        <f>D50/D80</f>
        <v>161.50609624218399</v>
      </c>
      <c r="E98">
        <f>E50/E80</f>
        <v>161.31638904092682</v>
      </c>
      <c r="F98" s="1">
        <f t="shared" si="2"/>
        <v>161.37101515197699</v>
      </c>
      <c r="G98" s="2">
        <f t="shared" si="3"/>
        <v>9.6097028415895958E-2</v>
      </c>
    </row>
    <row r="99" spans="1:7" x14ac:dyDescent="0.25">
      <c r="A99" s="162"/>
      <c r="B99" s="38" t="s">
        <v>79</v>
      </c>
      <c r="C99">
        <f>C51/C80</f>
        <v>162.21353160978288</v>
      </c>
      <c r="D99">
        <f>D51/D80</f>
        <v>162.36506697473376</v>
      </c>
      <c r="E99">
        <f>E51/E80</f>
        <v>162.13878469818681</v>
      </c>
      <c r="F99" s="1">
        <f t="shared" si="2"/>
        <v>162.23912776090114</v>
      </c>
      <c r="G99" s="2">
        <f t="shared" si="3"/>
        <v>9.4135680036389141E-2</v>
      </c>
    </row>
    <row r="100" spans="1:7" x14ac:dyDescent="0.25">
      <c r="A100" s="162"/>
      <c r="B100" s="38" t="s">
        <v>82</v>
      </c>
      <c r="C100">
        <f>C52/C80</f>
        <v>155.1428662314791</v>
      </c>
      <c r="D100">
        <f>D52/D80</f>
        <v>155.17251232860204</v>
      </c>
      <c r="E100">
        <f>E52/E80</f>
        <v>154.90629779133596</v>
      </c>
      <c r="F100" s="1">
        <f t="shared" si="2"/>
        <v>155.07389211713905</v>
      </c>
      <c r="G100" s="2">
        <f t="shared" si="3"/>
        <v>0.11912351097270456</v>
      </c>
    </row>
    <row r="101" spans="1:7" x14ac:dyDescent="0.25">
      <c r="A101" s="162"/>
      <c r="B101" s="38" t="s">
        <v>83</v>
      </c>
      <c r="C101">
        <f>C53/C80</f>
        <v>148.57704086793038</v>
      </c>
      <c r="D101">
        <f>D53/D80</f>
        <v>148.94545259392925</v>
      </c>
      <c r="E101">
        <f>E53/E80</f>
        <v>148.64319894074276</v>
      </c>
      <c r="F101" s="1">
        <f t="shared" si="2"/>
        <v>148.72189746753415</v>
      </c>
      <c r="G101" s="2">
        <f t="shared" si="3"/>
        <v>0.16036810479376251</v>
      </c>
    </row>
    <row r="102" spans="1:7" x14ac:dyDescent="0.25">
      <c r="A102" s="162"/>
      <c r="B102" s="38" t="s">
        <v>84</v>
      </c>
      <c r="C102">
        <f>C54/C80</f>
        <v>137.05652523070998</v>
      </c>
      <c r="D102">
        <f>D54/D80</f>
        <v>139.10246640637527</v>
      </c>
      <c r="E102">
        <f>E54/E80</f>
        <v>138.96410183143107</v>
      </c>
      <c r="F102" s="1">
        <f t="shared" si="2"/>
        <v>138.37436448950544</v>
      </c>
      <c r="G102" s="2">
        <f t="shared" si="3"/>
        <v>0.93356357502378895</v>
      </c>
    </row>
    <row r="103" spans="1:7" x14ac:dyDescent="0.25">
      <c r="A103" s="162"/>
      <c r="B103" s="38" t="s">
        <v>85</v>
      </c>
      <c r="C103">
        <f>C55/C80</f>
        <v>74.44832397891021</v>
      </c>
      <c r="D103">
        <f>D55/D80</f>
        <v>74.917052624811291</v>
      </c>
      <c r="E103">
        <f>E55/E80</f>
        <v>87.192669848731185</v>
      </c>
      <c r="F103" s="1">
        <f t="shared" si="2"/>
        <v>78.852682150817557</v>
      </c>
      <c r="G103" s="2">
        <f t="shared" si="3"/>
        <v>5.9003656800170736</v>
      </c>
    </row>
    <row r="104" spans="1:7" ht="15.75" thickBot="1" x14ac:dyDescent="0.3">
      <c r="A104" s="163"/>
      <c r="B104" s="39" t="s">
        <v>86</v>
      </c>
      <c r="C104">
        <f>C56/C80</f>
        <v>18.616357029582584</v>
      </c>
      <c r="D104">
        <f>D56/D80</f>
        <v>20.762760627669223</v>
      </c>
      <c r="E104">
        <f>E56/E80</f>
        <v>25.529932803704714</v>
      </c>
      <c r="F104" s="1">
        <f t="shared" si="2"/>
        <v>21.636350153652174</v>
      </c>
      <c r="G104" s="2">
        <f t="shared" si="3"/>
        <v>2.889261900100939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0.45895261166005175</v>
      </c>
      <c r="D106">
        <f>D55/D51</f>
        <v>0.46141115216901557</v>
      </c>
      <c r="E106">
        <f>E55/E51</f>
        <v>0.53776565558349265</v>
      </c>
      <c r="F106" s="1">
        <f t="shared" si="2"/>
        <v>0.48604313980418667</v>
      </c>
      <c r="G106" s="2">
        <f t="shared" si="3"/>
        <v>3.658711143070259E-2</v>
      </c>
    </row>
    <row r="107" spans="1:7" ht="15.75" thickBot="1" x14ac:dyDescent="0.3">
      <c r="A107" s="36"/>
      <c r="B107" s="39" t="s">
        <v>94</v>
      </c>
      <c r="C107">
        <f>(1-C45/C33)*100</f>
        <v>8.5390896702760557</v>
      </c>
      <c r="D107">
        <f>(1-D45/D33)*100</f>
        <v>8.6433660996179995</v>
      </c>
      <c r="E107">
        <f>(1-E45/E33)*100</f>
        <v>9.0810407509974276</v>
      </c>
      <c r="F107" s="1">
        <f t="shared" si="2"/>
        <v>8.7544988402971615</v>
      </c>
      <c r="G107" s="2">
        <f t="shared" si="3"/>
        <v>0.23479155012040226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1.04887304E-2</v>
      </c>
      <c r="D110">
        <f>D16*D21/10^4</f>
        <v>1.04887304E-2</v>
      </c>
      <c r="E110">
        <f>E16*E21/10^4</f>
        <v>1.04887304E-2</v>
      </c>
      <c r="F110" s="1">
        <f t="shared" si="2"/>
        <v>1.04887304E-2</v>
      </c>
      <c r="G110" s="2">
        <f t="shared" si="3"/>
        <v>0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514.49054596731742</v>
      </c>
      <c r="D111">
        <f>D33/D110</f>
        <v>518.36319770408056</v>
      </c>
      <c r="E111">
        <f>E33/E110</f>
        <v>520.99039937188195</v>
      </c>
      <c r="F111" s="1">
        <f t="shared" si="2"/>
        <v>517.94804768109327</v>
      </c>
      <c r="G111" s="2">
        <f t="shared" si="3"/>
        <v>2.6697422755011417</v>
      </c>
    </row>
    <row r="112" spans="1:7" x14ac:dyDescent="0.25">
      <c r="A112" s="162"/>
      <c r="B112" s="38" t="s">
        <v>74</v>
      </c>
      <c r="C112">
        <f>C34/C110</f>
        <v>471.86739493275564</v>
      </c>
      <c r="D112">
        <f>D34/D110</f>
        <v>475.50814920364428</v>
      </c>
      <c r="E112">
        <f>E34/E110</f>
        <v>475.80172143618069</v>
      </c>
      <c r="F112" s="1">
        <f t="shared" si="2"/>
        <v>474.39242185752687</v>
      </c>
      <c r="G112" s="2">
        <f t="shared" si="3"/>
        <v>1.7894816553113597</v>
      </c>
    </row>
    <row r="113" spans="1:7" x14ac:dyDescent="0.25">
      <c r="A113" s="162"/>
      <c r="B113" s="38" t="s">
        <v>75</v>
      </c>
      <c r="C113">
        <f>C35/C110</f>
        <v>449.37201169743093</v>
      </c>
      <c r="D113">
        <f>D35/D110</f>
        <v>452.92465806919773</v>
      </c>
      <c r="E113">
        <f>E35/E110</f>
        <v>454.19545438978963</v>
      </c>
      <c r="F113" s="1">
        <f t="shared" si="2"/>
        <v>452.16404138547273</v>
      </c>
      <c r="G113" s="2">
        <f t="shared" si="3"/>
        <v>2.041290956933496</v>
      </c>
    </row>
    <row r="114" spans="1:7" x14ac:dyDescent="0.25">
      <c r="A114" s="162"/>
      <c r="B114" s="38" t="s">
        <v>76</v>
      </c>
      <c r="C114">
        <f>C36/C110</f>
        <v>451.44308695359354</v>
      </c>
      <c r="D114">
        <f>D36/D110</f>
        <v>455.01716871281201</v>
      </c>
      <c r="E114">
        <f>E36/E110</f>
        <v>456.07616628224133</v>
      </c>
      <c r="F114" s="1">
        <f t="shared" si="2"/>
        <v>454.17880731621563</v>
      </c>
      <c r="G114" s="2">
        <f t="shared" si="3"/>
        <v>1.9821694158779928</v>
      </c>
    </row>
    <row r="115" spans="1:7" x14ac:dyDescent="0.25">
      <c r="A115" s="162"/>
      <c r="B115" s="38" t="s">
        <v>77</v>
      </c>
      <c r="C115">
        <f>C37/C110</f>
        <v>453.02142478559654</v>
      </c>
      <c r="D115">
        <f>D37/D110</f>
        <v>456.49362195447407</v>
      </c>
      <c r="E115">
        <f>E37/E110</f>
        <v>457.46939019426031</v>
      </c>
      <c r="F115" s="1">
        <f t="shared" si="2"/>
        <v>455.66147897811032</v>
      </c>
      <c r="G115" s="2">
        <f t="shared" si="3"/>
        <v>1.9088295748967974</v>
      </c>
    </row>
    <row r="116" spans="1:7" x14ac:dyDescent="0.25">
      <c r="A116" s="162"/>
      <c r="B116" s="38" t="s">
        <v>78</v>
      </c>
      <c r="C116">
        <f>C38/C110</f>
        <v>454.36615855814159</v>
      </c>
      <c r="D116">
        <f>D38/D110</f>
        <v>457.74600041202314</v>
      </c>
      <c r="E116">
        <f>E38/E110</f>
        <v>458.66786508308007</v>
      </c>
      <c r="F116" s="1">
        <f t="shared" si="2"/>
        <v>456.92667468441488</v>
      </c>
      <c r="G116" s="2">
        <f t="shared" si="3"/>
        <v>1.8492594450419171</v>
      </c>
    </row>
    <row r="117" spans="1:7" x14ac:dyDescent="0.25">
      <c r="A117" s="162"/>
      <c r="B117" s="38" t="s">
        <v>79</v>
      </c>
      <c r="C117">
        <f>C39/C110</f>
        <v>457.21056001210593</v>
      </c>
      <c r="D117">
        <f>D39/D110</f>
        <v>460.49745639376903</v>
      </c>
      <c r="E117">
        <f>E39/E110</f>
        <v>461.25818335458405</v>
      </c>
      <c r="F117" s="1">
        <f t="shared" si="2"/>
        <v>459.655399920153</v>
      </c>
      <c r="G117" s="2">
        <f t="shared" si="3"/>
        <v>1.7564373049276816</v>
      </c>
    </row>
    <row r="118" spans="1:7" x14ac:dyDescent="0.25">
      <c r="A118" s="162"/>
      <c r="B118" s="38" t="s">
        <v>80</v>
      </c>
      <c r="C118">
        <f>C40/C110</f>
        <v>456.7095384585345</v>
      </c>
      <c r="D118">
        <f>D40/D110</f>
        <v>459.87600272383776</v>
      </c>
      <c r="E118">
        <f>E40/E110</f>
        <v>460.50648036486854</v>
      </c>
      <c r="F118" s="1">
        <f t="shared" si="2"/>
        <v>459.0306738490803</v>
      </c>
      <c r="G118" s="2">
        <f t="shared" si="3"/>
        <v>1.6613503824485618</v>
      </c>
    </row>
    <row r="119" spans="1:7" x14ac:dyDescent="0.25">
      <c r="A119" s="162"/>
      <c r="B119" s="38" t="s">
        <v>80</v>
      </c>
      <c r="C119">
        <f>C41/C110</f>
        <v>437.64826675304761</v>
      </c>
      <c r="D119">
        <f>D41/D110</f>
        <v>440.59370903460348</v>
      </c>
      <c r="E119">
        <f>E41/E110</f>
        <v>441.16842587545199</v>
      </c>
      <c r="F119" s="1">
        <f t="shared" si="2"/>
        <v>439.8034672210344</v>
      </c>
      <c r="G119" s="2">
        <f t="shared" si="3"/>
        <v>1.5419125904098137</v>
      </c>
    </row>
    <row r="120" spans="1:7" x14ac:dyDescent="0.25">
      <c r="A120" s="162"/>
      <c r="B120" s="38" t="s">
        <v>80</v>
      </c>
      <c r="C120">
        <f>C42/C110</f>
        <v>419.33265822143738</v>
      </c>
      <c r="D120">
        <f>D42/D110</f>
        <v>422.87359488237013</v>
      </c>
      <c r="E120">
        <f>E42/E110</f>
        <v>423.23728236927508</v>
      </c>
      <c r="F120" s="1">
        <f t="shared" si="2"/>
        <v>421.81451182436086</v>
      </c>
      <c r="G120" s="2">
        <f t="shared" si="3"/>
        <v>1.761205103859476</v>
      </c>
    </row>
    <row r="121" spans="1:7" x14ac:dyDescent="0.25">
      <c r="A121" s="162"/>
      <c r="B121" s="38" t="s">
        <v>80</v>
      </c>
      <c r="C121">
        <f>C43/C110</f>
        <v>421.08944281759784</v>
      </c>
      <c r="D121">
        <f>D43/D110</f>
        <v>375.93462694016807</v>
      </c>
      <c r="E121">
        <f>E43/E110</f>
        <v>376.27820617831878</v>
      </c>
      <c r="F121" s="1">
        <f t="shared" si="2"/>
        <v>391.10075864536157</v>
      </c>
      <c r="G121" s="2">
        <f t="shared" si="3"/>
        <v>21.205665838164148</v>
      </c>
    </row>
    <row r="122" spans="1:7" ht="15.75" thickBot="1" x14ac:dyDescent="0.3">
      <c r="A122" s="163"/>
      <c r="B122" s="39" t="s">
        <v>80</v>
      </c>
      <c r="C122">
        <f>C44/C110</f>
        <v>209.22111984115827</v>
      </c>
      <c r="D122">
        <f>D44/D110</f>
        <v>212.68361612192837</v>
      </c>
      <c r="E122">
        <f>E44/E110</f>
        <v>248.23119011620321</v>
      </c>
      <c r="F122" s="1">
        <f t="shared" si="2"/>
        <v>223.37864202642996</v>
      </c>
      <c r="G122" s="2">
        <f t="shared" si="3"/>
        <v>17.630165059530896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470.55773690207536</v>
      </c>
      <c r="D123">
        <f>D45/D110</f>
        <v>473.55916880083026</v>
      </c>
      <c r="E123">
        <f>E45/E110</f>
        <v>473.67904889613715</v>
      </c>
      <c r="F123" s="1">
        <f t="shared" si="2"/>
        <v>472.59865153301422</v>
      </c>
      <c r="G123" s="2">
        <f t="shared" si="3"/>
        <v>1.4439741935362587</v>
      </c>
    </row>
    <row r="124" spans="1:7" x14ac:dyDescent="0.25">
      <c r="A124" s="162"/>
      <c r="B124" s="38" t="s">
        <v>74</v>
      </c>
      <c r="C124">
        <f>C46/C110</f>
        <v>448.61410109273095</v>
      </c>
      <c r="D124">
        <f>D46/D110</f>
        <v>451.86297952705502</v>
      </c>
      <c r="E124">
        <f>E46/E110</f>
        <v>453.04616753234501</v>
      </c>
      <c r="F124" s="1">
        <f t="shared" si="2"/>
        <v>451.17441605071031</v>
      </c>
      <c r="G124" s="2">
        <f t="shared" si="3"/>
        <v>1.8737472218356512</v>
      </c>
    </row>
    <row r="125" spans="1:7" x14ac:dyDescent="0.25">
      <c r="A125" s="162"/>
      <c r="B125" s="38" t="s">
        <v>75</v>
      </c>
      <c r="C125">
        <f>C47/C110</f>
        <v>450.65610324010231</v>
      </c>
      <c r="D125">
        <f>D47/D110</f>
        <v>453.95476749025795</v>
      </c>
      <c r="E125">
        <f>E47/E110</f>
        <v>454.92597083055921</v>
      </c>
      <c r="F125" s="1">
        <f t="shared" si="2"/>
        <v>453.17894718697318</v>
      </c>
      <c r="G125" s="2">
        <f t="shared" si="3"/>
        <v>1.8274508962395732</v>
      </c>
    </row>
    <row r="126" spans="1:7" x14ac:dyDescent="0.25">
      <c r="A126" s="162"/>
      <c r="B126" s="38" t="s">
        <v>76</v>
      </c>
      <c r="C126">
        <f>C48/C110</f>
        <v>452.27563576236076</v>
      </c>
      <c r="D126">
        <f>D48/D110</f>
        <v>455.49490622811697</v>
      </c>
      <c r="E126">
        <f>E48/E110</f>
        <v>456.37186651303386</v>
      </c>
      <c r="F126" s="1">
        <f t="shared" si="2"/>
        <v>454.71413616783724</v>
      </c>
      <c r="G126" s="2">
        <f t="shared" si="3"/>
        <v>1.7610561236489009</v>
      </c>
    </row>
    <row r="127" spans="1:7" x14ac:dyDescent="0.25">
      <c r="A127" s="162"/>
      <c r="B127" s="38" t="s">
        <v>77</v>
      </c>
      <c r="C127">
        <f>C49/C110</f>
        <v>453.6932754034749</v>
      </c>
      <c r="D127">
        <f>D49/D110</f>
        <v>456.80152385268673</v>
      </c>
      <c r="E127">
        <f>E49/E110</f>
        <v>457.61698479732115</v>
      </c>
      <c r="F127" s="1">
        <f t="shared" si="2"/>
        <v>456.03726135116091</v>
      </c>
      <c r="G127" s="2">
        <f t="shared" si="3"/>
        <v>1.6905515333303089</v>
      </c>
    </row>
    <row r="128" spans="1:7" x14ac:dyDescent="0.25">
      <c r="A128" s="162"/>
      <c r="B128" s="38" t="s">
        <v>78</v>
      </c>
      <c r="C128">
        <f>C50/C110</f>
        <v>454.89332817630628</v>
      </c>
      <c r="D128">
        <f>D50/D110</f>
        <v>457.92252606664385</v>
      </c>
      <c r="E128">
        <f>E50/E110</f>
        <v>458.58649679850669</v>
      </c>
      <c r="F128" s="1">
        <f t="shared" si="2"/>
        <v>457.13411701381892</v>
      </c>
      <c r="G128" s="2">
        <f t="shared" si="3"/>
        <v>1.60749603295179</v>
      </c>
    </row>
    <row r="129" spans="1:7" x14ac:dyDescent="0.25">
      <c r="A129" s="162"/>
      <c r="B129" s="38" t="s">
        <v>79</v>
      </c>
      <c r="C129">
        <f>C51/C110</f>
        <v>457.49641634415542</v>
      </c>
      <c r="D129">
        <f>D51/D110</f>
        <v>460.35798860842112</v>
      </c>
      <c r="E129">
        <f>E51/E110</f>
        <v>460.92438413709249</v>
      </c>
      <c r="F129" s="1">
        <f t="shared" si="2"/>
        <v>459.59292969655627</v>
      </c>
      <c r="G129" s="2">
        <f t="shared" si="3"/>
        <v>1.5003837623135508</v>
      </c>
    </row>
    <row r="130" spans="1:7" x14ac:dyDescent="0.25">
      <c r="A130" s="162"/>
      <c r="B130" s="38" t="s">
        <v>82</v>
      </c>
      <c r="C130">
        <f>C52/C110</f>
        <v>437.55477498020161</v>
      </c>
      <c r="D130">
        <f>D52/D110</f>
        <v>439.96474730630888</v>
      </c>
      <c r="E130">
        <f>E52/E110</f>
        <v>440.36403776762154</v>
      </c>
      <c r="F130" s="1">
        <f t="shared" si="2"/>
        <v>439.29452001804401</v>
      </c>
      <c r="G130" s="2">
        <f t="shared" si="3"/>
        <v>1.2409385737273626</v>
      </c>
    </row>
    <row r="131" spans="1:7" x14ac:dyDescent="0.25">
      <c r="A131" s="162"/>
      <c r="B131" s="38" t="s">
        <v>83</v>
      </c>
      <c r="C131">
        <f>C53/C110</f>
        <v>419.03695131681525</v>
      </c>
      <c r="D131">
        <f>D53/D110</f>
        <v>422.30899938089743</v>
      </c>
      <c r="E131">
        <f>E53/E110</f>
        <v>422.55944532619509</v>
      </c>
      <c r="F131" s="1">
        <f t="shared" si="2"/>
        <v>421.3017986746359</v>
      </c>
      <c r="G131" s="2">
        <f t="shared" si="3"/>
        <v>1.6047494006956307</v>
      </c>
    </row>
    <row r="132" spans="1:7" x14ac:dyDescent="0.25">
      <c r="A132" s="162"/>
      <c r="B132" s="38" t="s">
        <v>84</v>
      </c>
      <c r="C132">
        <f>C54/C110</f>
        <v>386.54524383618445</v>
      </c>
      <c r="D132">
        <f>D54/D110</f>
        <v>394.40091910456579</v>
      </c>
      <c r="E132">
        <f>E54/E110</f>
        <v>395.0439321044995</v>
      </c>
      <c r="F132" s="1">
        <f t="shared" si="2"/>
        <v>391.9966983484166</v>
      </c>
      <c r="G132" s="2">
        <f t="shared" si="3"/>
        <v>3.8636885359047732</v>
      </c>
    </row>
    <row r="133" spans="1:7" x14ac:dyDescent="0.25">
      <c r="A133" s="162"/>
      <c r="B133" s="38" t="s">
        <v>85</v>
      </c>
      <c r="C133">
        <f>C55/C110</f>
        <v>209.96917510626452</v>
      </c>
      <c r="D133">
        <f>D55/D110</f>
        <v>212.41430993402213</v>
      </c>
      <c r="E133">
        <f>E55/E110</f>
        <v>247.86930360990115</v>
      </c>
      <c r="F133" s="1">
        <f t="shared" si="2"/>
        <v>223.41759621672927</v>
      </c>
      <c r="G133" s="2">
        <f t="shared" si="3"/>
        <v>17.318759903881702</v>
      </c>
    </row>
    <row r="134" spans="1:7" ht="15.75" thickBot="1" x14ac:dyDescent="0.3">
      <c r="A134" s="163"/>
      <c r="B134" s="39" t="s">
        <v>86</v>
      </c>
      <c r="C134">
        <f>C56/C110</f>
        <v>52.504353625106049</v>
      </c>
      <c r="D134">
        <f>D56/D110</f>
        <v>58.869206896575392</v>
      </c>
      <c r="E134">
        <f>E56/E110</f>
        <v>72.57590203672315</v>
      </c>
      <c r="F134" s="1">
        <f t="shared" si="2"/>
        <v>61.316487519468204</v>
      </c>
      <c r="G134" s="2">
        <f t="shared" si="3"/>
        <v>8.3749089843954607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DD053</v>
      </c>
      <c r="D137" s="68" t="str">
        <f>D1</f>
        <v>DD055</v>
      </c>
      <c r="E137" s="68" t="str">
        <f>E1</f>
        <v>DD058</v>
      </c>
    </row>
    <row r="138" spans="1:7" ht="14.45" customHeight="1" x14ac:dyDescent="0.25">
      <c r="A138" s="172"/>
      <c r="B138" s="69" t="s">
        <v>100</v>
      </c>
      <c r="C138" s="68">
        <f>C25</f>
        <v>2.9581728000000002E-2</v>
      </c>
      <c r="D138" s="68">
        <f>D25</f>
        <v>2.9738976E-2</v>
      </c>
      <c r="E138" s="68">
        <f>E25</f>
        <v>2.9817120000000003E-2</v>
      </c>
      <c r="F138" s="1">
        <f t="shared" si="2"/>
        <v>2.9712608000000001E-2</v>
      </c>
      <c r="G138" s="2">
        <f t="shared" si="3"/>
        <v>9.7890421676484989E-5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61</v>
      </c>
      <c r="D142" s="68">
        <f>D21</f>
        <v>61</v>
      </c>
      <c r="E142" s="68">
        <f>E21</f>
        <v>61</v>
      </c>
      <c r="F142" s="1">
        <f t="shared" ref="F142:F151" si="4">AVERAGE(C142:E142)</f>
        <v>61</v>
      </c>
      <c r="G142" s="2">
        <f t="shared" ref="G142:G151" si="5">_xlfn.STDEV.P(C142:E142)</f>
        <v>0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>D16</f>
        <v>1.7194640000000001</v>
      </c>
      <c r="E143" s="68">
        <f>E16</f>
        <v>1.7194640000000001</v>
      </c>
      <c r="F143" s="1">
        <f t="shared" si="4"/>
        <v>1.7194640000000001</v>
      </c>
      <c r="G143" s="2">
        <f t="shared" si="5"/>
        <v>0</v>
      </c>
    </row>
    <row r="144" spans="1:7" ht="14.45" customHeight="1" x14ac:dyDescent="0.25">
      <c r="A144" s="172"/>
      <c r="B144" s="69" t="s">
        <v>106</v>
      </c>
      <c r="C144" s="68">
        <f>C22</f>
        <v>179.20875342548609</v>
      </c>
      <c r="D144" s="68">
        <f>D22</f>
        <v>180.16137587062016</v>
      </c>
      <c r="E144" s="68">
        <f>E22</f>
        <v>180.63477921026555</v>
      </c>
      <c r="F144" s="1">
        <f t="shared" si="4"/>
        <v>180.00163616879058</v>
      </c>
      <c r="G144" s="2">
        <f t="shared" si="5"/>
        <v>0.59302892788880179</v>
      </c>
    </row>
    <row r="145" spans="1:7" ht="14.45" customHeight="1" x14ac:dyDescent="0.25">
      <c r="A145" s="172"/>
      <c r="B145" s="69" t="s">
        <v>107</v>
      </c>
      <c r="C145" s="68">
        <f>C24</f>
        <v>34.099407429088217</v>
      </c>
      <c r="D145" s="68">
        <f>D24</f>
        <v>33.749098739190508</v>
      </c>
      <c r="E145" s="68">
        <f>E24</f>
        <v>33.575013712586866</v>
      </c>
      <c r="F145" s="1">
        <f t="shared" si="4"/>
        <v>33.807839960288533</v>
      </c>
      <c r="G145" s="2">
        <f t="shared" si="5"/>
        <v>0.21807504941890954</v>
      </c>
    </row>
    <row r="146" spans="1:7" ht="14.45" customHeight="1" thickBot="1" x14ac:dyDescent="0.3">
      <c r="A146" s="173"/>
      <c r="B146" s="70" t="s">
        <v>108</v>
      </c>
      <c r="C146" s="68">
        <v>85</v>
      </c>
      <c r="D146">
        <v>85</v>
      </c>
      <c r="E146" s="68">
        <v>85</v>
      </c>
      <c r="F146" s="1">
        <f t="shared" si="4"/>
        <v>85</v>
      </c>
      <c r="G146" s="2">
        <f t="shared" si="5"/>
        <v>0</v>
      </c>
    </row>
    <row r="148" spans="1:7" x14ac:dyDescent="0.25">
      <c r="A148" s="168" t="s">
        <v>109</v>
      </c>
      <c r="B148" s="94" t="s">
        <v>110</v>
      </c>
      <c r="C148">
        <v>4.97</v>
      </c>
      <c r="D148">
        <v>4.99</v>
      </c>
      <c r="E148">
        <v>4.99</v>
      </c>
      <c r="F148" s="1">
        <f t="shared" si="4"/>
        <v>4.9833333333333334</v>
      </c>
      <c r="G148" s="2">
        <f t="shared" si="5"/>
        <v>9.4280904158208518E-3</v>
      </c>
    </row>
    <row r="149" spans="1:7" x14ac:dyDescent="0.25">
      <c r="A149" s="169"/>
      <c r="B149" s="95" t="s">
        <v>111</v>
      </c>
      <c r="C149">
        <v>4.51</v>
      </c>
      <c r="D149">
        <v>4.6500000000000004</v>
      </c>
      <c r="E149" s="97">
        <v>4.6399999999999997</v>
      </c>
      <c r="F149" s="1">
        <f t="shared" si="4"/>
        <v>4.6000000000000005</v>
      </c>
      <c r="G149" s="2">
        <f t="shared" si="5"/>
        <v>6.3770421565696761E-2</v>
      </c>
    </row>
    <row r="150" spans="1:7" x14ac:dyDescent="0.25">
      <c r="A150" s="169"/>
      <c r="B150" s="95" t="s">
        <v>112</v>
      </c>
      <c r="C150">
        <v>4.4800000000000004</v>
      </c>
      <c r="D150">
        <v>4.55</v>
      </c>
      <c r="E150">
        <v>4.5199999999999996</v>
      </c>
      <c r="F150" s="1">
        <f t="shared" si="4"/>
        <v>4.5166666666666666</v>
      </c>
      <c r="G150" s="2">
        <f t="shared" si="5"/>
        <v>2.8674417556808489E-2</v>
      </c>
    </row>
    <row r="151" spans="1:7" ht="15.75" thickBot="1" x14ac:dyDescent="0.3">
      <c r="A151" s="170"/>
      <c r="B151" s="96" t="s">
        <v>113</v>
      </c>
      <c r="C151">
        <v>4.83</v>
      </c>
      <c r="D151">
        <v>4.87</v>
      </c>
      <c r="E151">
        <v>4.87</v>
      </c>
      <c r="F151" s="1">
        <f t="shared" si="4"/>
        <v>4.8566666666666665</v>
      </c>
      <c r="G151" s="2">
        <f t="shared" si="5"/>
        <v>1.8856180831641284E-2</v>
      </c>
    </row>
  </sheetData>
  <sortState xmlns:xlrd2="http://schemas.microsoft.com/office/spreadsheetml/2017/richdata2" columnSort="1" ref="C1:G148">
    <sortCondition descending="1" ref="C24:G24"/>
  </sortState>
  <mergeCells count="11">
    <mergeCell ref="A81:A92"/>
    <mergeCell ref="A1:A30"/>
    <mergeCell ref="A33:A44"/>
    <mergeCell ref="A45:A56"/>
    <mergeCell ref="A57:A67"/>
    <mergeCell ref="A68:A78"/>
    <mergeCell ref="A148:A151"/>
    <mergeCell ref="A93:A104"/>
    <mergeCell ref="A111:A122"/>
    <mergeCell ref="A123:A134"/>
    <mergeCell ref="A137:A146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53"/>
  <sheetViews>
    <sheetView workbookViewId="0">
      <pane ySplit="1" topLeftCell="A144" activePane="bottomLeft" state="frozen"/>
      <selection pane="bottomLeft" activeCell="A154" sqref="A154:XFD154"/>
    </sheetView>
  </sheetViews>
  <sheetFormatPr defaultRowHeight="15" x14ac:dyDescent="0.25"/>
  <cols>
    <col min="1" max="1" width="14.28515625" customWidth="1"/>
    <col min="2" max="2" width="43.140625" style="27" customWidth="1"/>
    <col min="3" max="3" width="15.28515625" bestFit="1" customWidth="1"/>
    <col min="4" max="4" width="15.28515625" customWidth="1"/>
    <col min="5" max="5" width="16.710937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s="3" t="s">
        <v>202</v>
      </c>
      <c r="D1" s="3" t="s">
        <v>203</v>
      </c>
      <c r="E1" s="3" t="s">
        <v>204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</v>
      </c>
      <c r="D5" s="8">
        <v>0.9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t="s">
        <v>205</v>
      </c>
      <c r="D8" t="s">
        <v>206</v>
      </c>
      <c r="E8" t="s">
        <v>207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>
        <v>3.5936799999999998E-2</v>
      </c>
      <c r="D12">
        <v>3.58797E-2</v>
      </c>
      <c r="E12">
        <v>3.5705800000000003E-2</v>
      </c>
      <c r="F12" s="1">
        <f t="shared" ref="F12:F25" si="0">AVERAGE(C12:E12)</f>
        <v>3.5840766666666669E-2</v>
      </c>
      <c r="G12" s="2">
        <f t="shared" ref="G12:G25" si="1">_xlfn.STDEV.P(C12:E12)</f>
        <v>9.8241550385882293E-5</v>
      </c>
    </row>
    <row r="13" spans="1:7" x14ac:dyDescent="0.25">
      <c r="A13" s="164"/>
      <c r="B13" s="21" t="s">
        <v>49</v>
      </c>
      <c r="C13">
        <v>69</v>
      </c>
      <c r="D13">
        <v>69</v>
      </c>
      <c r="E13">
        <v>69</v>
      </c>
      <c r="F13" s="1">
        <f t="shared" si="0"/>
        <v>69</v>
      </c>
      <c r="G13" s="2">
        <f t="shared" si="1"/>
        <v>0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3.0366799999999999E-2</v>
      </c>
      <c r="D18" s="11">
        <f t="shared" ref="D18:E18" si="2">D12-D14</f>
        <v>3.0309700000000002E-2</v>
      </c>
      <c r="E18" s="11">
        <f t="shared" si="2"/>
        <v>3.0135800000000004E-2</v>
      </c>
      <c r="F18" s="1">
        <f t="shared" si="0"/>
        <v>3.0270766666666671E-2</v>
      </c>
      <c r="G18" s="2">
        <f t="shared" si="1"/>
        <v>9.8241550385882293E-5</v>
      </c>
    </row>
    <row r="19" spans="1:7" x14ac:dyDescent="0.25">
      <c r="A19" s="164"/>
      <c r="B19" s="23" t="s">
        <v>55</v>
      </c>
      <c r="C19" s="12">
        <f>C18*C10/100*C11</f>
        <v>4.8101011199999997</v>
      </c>
      <c r="D19" s="12">
        <f t="shared" ref="D19:E19" si="3">D18*D10/100*D11</f>
        <v>4.8010564800000006</v>
      </c>
      <c r="E19" s="12">
        <f t="shared" si="3"/>
        <v>4.7735107200000009</v>
      </c>
      <c r="F19" s="1">
        <f t="shared" si="0"/>
        <v>4.7948894400000004</v>
      </c>
      <c r="G19" s="2">
        <f t="shared" si="1"/>
        <v>1.5561461581123632E-2</v>
      </c>
    </row>
    <row r="20" spans="1:7" x14ac:dyDescent="0.25">
      <c r="A20" s="164"/>
      <c r="B20" s="23" t="s">
        <v>56</v>
      </c>
      <c r="C20" s="12">
        <f>C19/C16</f>
        <v>2.7974421796559854</v>
      </c>
      <c r="D20" s="12">
        <f t="shared" ref="D20:E20" si="4">D19/D16</f>
        <v>2.7921820288182833</v>
      </c>
      <c r="E20" s="12">
        <f t="shared" si="4"/>
        <v>2.7761620598046837</v>
      </c>
      <c r="F20" s="1">
        <f t="shared" si="0"/>
        <v>2.7885954227596508</v>
      </c>
      <c r="G20" s="2">
        <f t="shared" si="1"/>
        <v>9.0501816735468893E-3</v>
      </c>
    </row>
    <row r="21" spans="1:7" x14ac:dyDescent="0.25">
      <c r="A21" s="164"/>
      <c r="B21" s="22" t="s">
        <v>57</v>
      </c>
      <c r="C21" s="13">
        <f>C13-C15</f>
        <v>56</v>
      </c>
      <c r="D21" s="13">
        <f t="shared" ref="D21:E21" si="5">D13-D15</f>
        <v>56</v>
      </c>
      <c r="E21" s="13">
        <f t="shared" si="5"/>
        <v>56</v>
      </c>
      <c r="F21" s="1">
        <f t="shared" si="0"/>
        <v>56</v>
      </c>
      <c r="G21" s="2">
        <f t="shared" si="1"/>
        <v>0</v>
      </c>
    </row>
    <row r="22" spans="1:7" x14ac:dyDescent="0.25">
      <c r="A22" s="164"/>
      <c r="B22" s="22" t="s">
        <v>58</v>
      </c>
      <c r="C22" s="13">
        <f>C18/(C16/10^4)</f>
        <v>176.60619821060516</v>
      </c>
      <c r="D22" s="13">
        <f t="shared" ref="D22:E22" si="6">D18/(D16/10^4)</f>
        <v>176.27411798095221</v>
      </c>
      <c r="E22" s="13">
        <f t="shared" si="6"/>
        <v>175.26275630080073</v>
      </c>
      <c r="F22" s="1">
        <f t="shared" si="0"/>
        <v>176.04769083078602</v>
      </c>
      <c r="G22" s="2">
        <f t="shared" si="1"/>
        <v>0.57134985312796671</v>
      </c>
    </row>
    <row r="23" spans="1:7" x14ac:dyDescent="0.25">
      <c r="A23" s="164"/>
      <c r="B23" s="22" t="s">
        <v>59</v>
      </c>
      <c r="C23" s="13">
        <f>C18/C16/(C21/10^4)</f>
        <v>3.153682110903663</v>
      </c>
      <c r="D23" s="13">
        <f t="shared" ref="D23:E23" si="7">D18/D16/(D21/10^4)</f>
        <v>3.1477521068027179</v>
      </c>
      <c r="E23" s="13">
        <f t="shared" si="7"/>
        <v>3.1296920768000129</v>
      </c>
      <c r="F23" s="1">
        <f t="shared" si="0"/>
        <v>3.1437087648354649</v>
      </c>
      <c r="G23" s="2">
        <f t="shared" si="1"/>
        <v>1.0202675948713559E-2</v>
      </c>
    </row>
    <row r="24" spans="1:7" x14ac:dyDescent="0.25">
      <c r="A24" s="164"/>
      <c r="B24" s="22" t="s">
        <v>60</v>
      </c>
      <c r="C24" s="13">
        <f>(1-C23/C17)*100</f>
        <v>29.257915861290652</v>
      </c>
      <c r="D24" s="13">
        <f t="shared" ref="D24:E24" si="8">(1-D23/D17)*100</f>
        <v>29.390935244443295</v>
      </c>
      <c r="E24" s="13">
        <f t="shared" si="8"/>
        <v>29.796050318528199</v>
      </c>
      <c r="F24" s="1">
        <f t="shared" si="0"/>
        <v>29.481633808087381</v>
      </c>
      <c r="G24" s="2">
        <f t="shared" si="1"/>
        <v>0.22886217919949503</v>
      </c>
    </row>
    <row r="25" spans="1:7" x14ac:dyDescent="0.25">
      <c r="A25" s="164"/>
      <c r="B25" s="24" t="s">
        <v>61</v>
      </c>
      <c r="C25" s="14">
        <f>(C18*C10)/100</f>
        <v>2.9152127999999999E-2</v>
      </c>
      <c r="D25" s="14">
        <f t="shared" ref="D25:E25" si="9">(D18*D10)/100</f>
        <v>2.9097312000000004E-2</v>
      </c>
      <c r="E25" s="14">
        <f t="shared" si="9"/>
        <v>2.8930368000000005E-2</v>
      </c>
      <c r="F25" s="1">
        <f t="shared" si="0"/>
        <v>2.9059935999999998E-2</v>
      </c>
      <c r="G25" s="2">
        <f t="shared" si="1"/>
        <v>9.4311888370446852E-5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65</v>
      </c>
      <c r="D28" t="s">
        <v>65</v>
      </c>
      <c r="E28" t="s">
        <v>141</v>
      </c>
    </row>
    <row r="29" spans="1:7" x14ac:dyDescent="0.25">
      <c r="A29" s="164"/>
      <c r="B29" s="18" t="s">
        <v>67</v>
      </c>
      <c r="C29" t="s">
        <v>125</v>
      </c>
      <c r="D29" t="s">
        <v>152</v>
      </c>
      <c r="E29" t="s">
        <v>123</v>
      </c>
    </row>
    <row r="30" spans="1:7" x14ac:dyDescent="0.25">
      <c r="A30" s="164"/>
      <c r="B30" s="25" t="s">
        <v>71</v>
      </c>
      <c r="C30">
        <v>3.2650000000000001</v>
      </c>
      <c r="D30">
        <v>3.2429999999999999</v>
      </c>
      <c r="E30" s="66">
        <v>3.2559999999999998</v>
      </c>
    </row>
    <row r="31" spans="1:7" x14ac:dyDescent="0.25">
      <c r="A31" s="46"/>
    </row>
    <row r="32" spans="1:7" ht="15.75" thickBot="1" x14ac:dyDescent="0.3"/>
    <row r="33" spans="1:7" ht="15.75" thickTop="1" x14ac:dyDescent="0.25">
      <c r="A33" s="165" t="s">
        <v>72</v>
      </c>
      <c r="B33" s="28" t="s">
        <v>73</v>
      </c>
      <c r="C33" s="47">
        <v>5.3313764310565723</v>
      </c>
      <c r="D33" s="48">
        <v>5.3407003007252882</v>
      </c>
      <c r="E33" s="125">
        <v>5.3072652667863736</v>
      </c>
      <c r="F33" s="1">
        <f t="shared" ref="F33:F78" si="10">AVERAGE(C33:E33)</f>
        <v>5.3264473328560777</v>
      </c>
      <c r="G33" s="2">
        <f t="shared" ref="G33:G78" si="11">_xlfn.STDEV.P(C33:E33)</f>
        <v>1.4087757816077547E-2</v>
      </c>
    </row>
    <row r="34" spans="1:7" x14ac:dyDescent="0.25">
      <c r="A34" s="166"/>
      <c r="B34" s="29" t="s">
        <v>74</v>
      </c>
      <c r="C34" s="49">
        <v>4.8933429071056302</v>
      </c>
      <c r="D34" s="50">
        <v>4.8766471796422293</v>
      </c>
      <c r="E34" s="126">
        <v>4.8521873949450844</v>
      </c>
      <c r="F34" s="1">
        <f t="shared" si="10"/>
        <v>4.8740591605643147</v>
      </c>
      <c r="G34" s="2">
        <f t="shared" si="11"/>
        <v>1.6901034038581699E-2</v>
      </c>
    </row>
    <row r="35" spans="1:7" x14ac:dyDescent="0.25">
      <c r="A35" s="166"/>
      <c r="B35" s="29" t="s">
        <v>75</v>
      </c>
      <c r="C35" s="49">
        <v>4.6666625857045796</v>
      </c>
      <c r="D35" s="50">
        <v>4.6523564827959412</v>
      </c>
      <c r="E35" s="126">
        <v>4.6250583899031961</v>
      </c>
      <c r="F35" s="1">
        <f t="shared" si="10"/>
        <v>4.6480258194679047</v>
      </c>
      <c r="G35" s="2">
        <f t="shared" si="11"/>
        <v>1.7258684011545389E-2</v>
      </c>
    </row>
    <row r="36" spans="1:7" x14ac:dyDescent="0.25">
      <c r="A36" s="166"/>
      <c r="B36" s="29" t="s">
        <v>76</v>
      </c>
      <c r="C36" s="49">
        <v>4.6830015433750791</v>
      </c>
      <c r="D36" s="50">
        <v>4.6669939501049358</v>
      </c>
      <c r="E36" s="126">
        <v>4.6420953938392424</v>
      </c>
      <c r="F36" s="1">
        <f t="shared" si="10"/>
        <v>4.6640302957730855</v>
      </c>
      <c r="G36" s="2">
        <f t="shared" si="11"/>
        <v>1.6830838812748432E-2</v>
      </c>
    </row>
    <row r="37" spans="1:7" x14ac:dyDescent="0.25">
      <c r="A37" s="166"/>
      <c r="B37" s="29" t="s">
        <v>77</v>
      </c>
      <c r="C37" s="49">
        <v>4.6970507950210667</v>
      </c>
      <c r="D37" s="50">
        <v>4.6829630318333866</v>
      </c>
      <c r="E37" s="126">
        <v>4.6557064749733286</v>
      </c>
      <c r="F37" s="1">
        <f t="shared" si="10"/>
        <v>4.678573433942594</v>
      </c>
      <c r="G37" s="2">
        <f t="shared" si="11"/>
        <v>1.716177200028382E-2</v>
      </c>
    </row>
    <row r="38" spans="1:7" x14ac:dyDescent="0.25">
      <c r="A38" s="166"/>
      <c r="B38" s="29" t="s">
        <v>78</v>
      </c>
      <c r="C38" s="49">
        <v>4.7081256690789992</v>
      </c>
      <c r="D38" s="50">
        <v>4.694509194037324</v>
      </c>
      <c r="E38" s="126">
        <v>4.6666843774535387</v>
      </c>
      <c r="F38" s="1">
        <f t="shared" si="10"/>
        <v>4.689773080189954</v>
      </c>
      <c r="G38" s="2">
        <f t="shared" si="11"/>
        <v>1.7246608240038649E-2</v>
      </c>
    </row>
    <row r="39" spans="1:7" x14ac:dyDescent="0.25">
      <c r="A39" s="166"/>
      <c r="B39" s="29" t="s">
        <v>79</v>
      </c>
      <c r="C39" s="49">
        <v>4.7352130727538597</v>
      </c>
      <c r="D39" s="50">
        <v>4.7220630298600117</v>
      </c>
      <c r="E39" s="126">
        <v>4.6939345118317659</v>
      </c>
      <c r="F39" s="1">
        <f t="shared" si="10"/>
        <v>4.7170702048152124</v>
      </c>
      <c r="G39" s="2">
        <f t="shared" si="11"/>
        <v>1.7217745194918983E-2</v>
      </c>
    </row>
    <row r="40" spans="1:7" x14ac:dyDescent="0.25">
      <c r="A40" s="166"/>
      <c r="B40" s="29" t="s">
        <v>80</v>
      </c>
      <c r="C40" s="49">
        <v>4.7272795424635712</v>
      </c>
      <c r="D40" s="50">
        <v>4.7151663425402548</v>
      </c>
      <c r="E40" s="126">
        <v>4.6862344133315172</v>
      </c>
      <c r="F40" s="1">
        <f t="shared" si="10"/>
        <v>4.7095600994451141</v>
      </c>
      <c r="G40" s="2">
        <f t="shared" si="11"/>
        <v>1.7219139111235161E-2</v>
      </c>
    </row>
    <row r="41" spans="1:7" x14ac:dyDescent="0.25">
      <c r="A41" s="166"/>
      <c r="B41" s="29" t="s">
        <v>80</v>
      </c>
      <c r="C41" s="49">
        <v>4.5296868301998048</v>
      </c>
      <c r="D41" s="50">
        <v>4.521672052479226</v>
      </c>
      <c r="E41" s="126">
        <v>4.4919716693553857</v>
      </c>
      <c r="F41" s="1">
        <f t="shared" si="10"/>
        <v>4.5144435173448052</v>
      </c>
      <c r="G41" s="2">
        <f t="shared" si="11"/>
        <v>1.6223380854438939E-2</v>
      </c>
    </row>
    <row r="42" spans="1:7" x14ac:dyDescent="0.25">
      <c r="A42" s="166"/>
      <c r="B42" s="29" t="s">
        <v>80</v>
      </c>
      <c r="C42" s="49">
        <v>4.3438932476938747</v>
      </c>
      <c r="D42" s="50">
        <v>4.3378003187282319</v>
      </c>
      <c r="E42" s="126">
        <v>4.3124909392090878</v>
      </c>
      <c r="F42" s="1">
        <f t="shared" si="10"/>
        <v>4.3313948352103981</v>
      </c>
      <c r="G42" s="2">
        <f t="shared" si="11"/>
        <v>1.3596541444214435E-2</v>
      </c>
    </row>
    <row r="43" spans="1:7" x14ac:dyDescent="0.25">
      <c r="A43" s="166"/>
      <c r="B43" s="29" t="s">
        <v>80</v>
      </c>
      <c r="C43" s="49">
        <v>3.869472507643112</v>
      </c>
      <c r="D43" s="50">
        <v>3.8727441311884752</v>
      </c>
      <c r="E43" s="126">
        <v>3.838965229296817</v>
      </c>
      <c r="F43" s="1">
        <f t="shared" si="10"/>
        <v>3.8603939560428011</v>
      </c>
      <c r="G43" s="2">
        <f t="shared" si="11"/>
        <v>1.5211150024925632E-2</v>
      </c>
    </row>
    <row r="44" spans="1:7" ht="15.75" thickBot="1" x14ac:dyDescent="0.3">
      <c r="A44" s="167"/>
      <c r="B44" s="30" t="s">
        <v>80</v>
      </c>
      <c r="C44" s="51">
        <v>1.415614827480602</v>
      </c>
      <c r="D44" s="52">
        <v>1.3836295121195541</v>
      </c>
      <c r="E44" s="127">
        <v>1.5058391565338189</v>
      </c>
      <c r="F44" s="1">
        <f t="shared" si="10"/>
        <v>1.4350278320446581</v>
      </c>
      <c r="G44" s="2">
        <f t="shared" si="11"/>
        <v>5.1745839488911691E-2</v>
      </c>
    </row>
    <row r="45" spans="1:7" ht="15.75" thickTop="1" x14ac:dyDescent="0.25">
      <c r="A45" s="165" t="s">
        <v>81</v>
      </c>
      <c r="B45" s="28" t="s">
        <v>73</v>
      </c>
      <c r="C45" s="47">
        <v>4.8716345400684711</v>
      </c>
      <c r="D45" s="48">
        <v>4.853309282997583</v>
      </c>
      <c r="E45" s="125">
        <v>4.8299096148072778</v>
      </c>
      <c r="F45" s="1">
        <f t="shared" si="10"/>
        <v>4.8516178126244442</v>
      </c>
      <c r="G45" s="2">
        <f t="shared" si="11"/>
        <v>1.7076068068702609E-2</v>
      </c>
    </row>
    <row r="46" spans="1:7" x14ac:dyDescent="0.25">
      <c r="A46" s="166"/>
      <c r="B46" s="29" t="s">
        <v>74</v>
      </c>
      <c r="C46" s="49">
        <v>4.6541582007155853</v>
      </c>
      <c r="D46" s="50">
        <v>4.6384344940352804</v>
      </c>
      <c r="E46" s="126">
        <v>4.6116525072081576</v>
      </c>
      <c r="F46" s="1">
        <f t="shared" si="10"/>
        <v>4.6347484006530077</v>
      </c>
      <c r="G46" s="2">
        <f t="shared" si="11"/>
        <v>1.7547534650276309E-2</v>
      </c>
    </row>
    <row r="47" spans="1:7" x14ac:dyDescent="0.25">
      <c r="A47" s="166"/>
      <c r="B47" s="29" t="s">
        <v>75</v>
      </c>
      <c r="C47" s="49">
        <v>4.6712798292397153</v>
      </c>
      <c r="D47" s="50">
        <v>4.6531935129705078</v>
      </c>
      <c r="E47" s="126">
        <v>4.6284517750932102</v>
      </c>
      <c r="F47" s="1">
        <f t="shared" si="10"/>
        <v>4.6509750391011444</v>
      </c>
      <c r="G47" s="2">
        <f t="shared" si="11"/>
        <v>1.7554710198420254E-2</v>
      </c>
    </row>
    <row r="48" spans="1:7" x14ac:dyDescent="0.25">
      <c r="A48" s="166"/>
      <c r="B48" s="29" t="s">
        <v>76</v>
      </c>
      <c r="C48" s="49">
        <v>4.6864189233559372</v>
      </c>
      <c r="D48" s="50">
        <v>4.6696512971012112</v>
      </c>
      <c r="E48" s="126">
        <v>4.6428350018356603</v>
      </c>
      <c r="F48" s="1">
        <f t="shared" si="10"/>
        <v>4.6663017407642693</v>
      </c>
      <c r="G48" s="2">
        <f t="shared" si="11"/>
        <v>1.7950008347485027E-2</v>
      </c>
    </row>
    <row r="49" spans="1:7" x14ac:dyDescent="0.25">
      <c r="A49" s="166"/>
      <c r="B49" s="29" t="s">
        <v>77</v>
      </c>
      <c r="C49" s="49">
        <v>4.6976231877171006</v>
      </c>
      <c r="D49" s="50">
        <v>4.681715311809576</v>
      </c>
      <c r="E49" s="126">
        <v>4.6543805024668874</v>
      </c>
      <c r="F49" s="1">
        <f t="shared" si="10"/>
        <v>4.6779063339978544</v>
      </c>
      <c r="G49" s="2">
        <f t="shared" si="11"/>
        <v>1.785802696996305E-2</v>
      </c>
    </row>
    <row r="50" spans="1:7" x14ac:dyDescent="0.25">
      <c r="A50" s="166"/>
      <c r="B50" s="29" t="s">
        <v>78</v>
      </c>
      <c r="C50" s="49">
        <v>4.7075615304854486</v>
      </c>
      <c r="D50" s="50">
        <v>4.6919940743949944</v>
      </c>
      <c r="E50" s="126">
        <v>4.6642187727592122</v>
      </c>
      <c r="F50" s="1">
        <f t="shared" si="10"/>
        <v>4.6879247925465526</v>
      </c>
      <c r="G50" s="2">
        <f t="shared" si="11"/>
        <v>1.792703643291059E-2</v>
      </c>
    </row>
    <row r="51" spans="1:7" x14ac:dyDescent="0.25">
      <c r="A51" s="166"/>
      <c r="B51" s="29" t="s">
        <v>79</v>
      </c>
      <c r="C51" s="49">
        <v>4.7321837982216808</v>
      </c>
      <c r="D51" s="50">
        <v>4.7169647178867766</v>
      </c>
      <c r="E51" s="126">
        <v>4.6886127538432998</v>
      </c>
      <c r="F51" s="1">
        <f t="shared" si="10"/>
        <v>4.7125870899839191</v>
      </c>
      <c r="G51" s="2">
        <f t="shared" si="11"/>
        <v>1.8055132171539104E-2</v>
      </c>
    </row>
    <row r="52" spans="1:7" x14ac:dyDescent="0.25">
      <c r="A52" s="166"/>
      <c r="B52" s="29" t="s">
        <v>82</v>
      </c>
      <c r="C52" s="49">
        <v>4.520502679964034</v>
      </c>
      <c r="D52" s="50">
        <v>4.5077753290867779</v>
      </c>
      <c r="E52" s="126">
        <v>4.4790461757779161</v>
      </c>
      <c r="F52" s="1">
        <f t="shared" si="10"/>
        <v>4.5024413949429096</v>
      </c>
      <c r="G52" s="2">
        <f t="shared" si="11"/>
        <v>1.7339715009610127E-2</v>
      </c>
    </row>
    <row r="53" spans="1:7" x14ac:dyDescent="0.25">
      <c r="A53" s="166"/>
      <c r="B53" s="29" t="s">
        <v>83</v>
      </c>
      <c r="C53" s="49">
        <v>4.3366414030398266</v>
      </c>
      <c r="D53" s="50">
        <v>4.3259612899247797</v>
      </c>
      <c r="E53" s="126">
        <v>4.3031747392111352</v>
      </c>
      <c r="F53" s="1">
        <f t="shared" si="10"/>
        <v>4.3219258107252472</v>
      </c>
      <c r="G53" s="2">
        <f t="shared" si="11"/>
        <v>1.3957512104790357E-2</v>
      </c>
    </row>
    <row r="54" spans="1:7" x14ac:dyDescent="0.25">
      <c r="A54" s="166"/>
      <c r="B54" s="29" t="s">
        <v>84</v>
      </c>
      <c r="C54" s="49">
        <v>4.0301470122008851</v>
      </c>
      <c r="D54" s="50">
        <v>3.999738779904046</v>
      </c>
      <c r="E54" s="126">
        <v>4.0084276557487906</v>
      </c>
      <c r="F54" s="1">
        <f t="shared" si="10"/>
        <v>4.0127711492845739</v>
      </c>
      <c r="G54" s="2">
        <f t="shared" si="11"/>
        <v>1.2788395779668787E-2</v>
      </c>
    </row>
    <row r="55" spans="1:7" x14ac:dyDescent="0.25">
      <c r="A55" s="166"/>
      <c r="B55" s="29" t="s">
        <v>85</v>
      </c>
      <c r="C55" s="49">
        <v>1.4117834687529669</v>
      </c>
      <c r="D55" s="50">
        <v>1.3742477562003661</v>
      </c>
      <c r="E55" s="126">
        <v>1.499252219163046</v>
      </c>
      <c r="F55" s="1">
        <f t="shared" si="10"/>
        <v>1.4284278147054597</v>
      </c>
      <c r="G55" s="2">
        <f t="shared" si="11"/>
        <v>5.2372414044588374E-2</v>
      </c>
    </row>
    <row r="56" spans="1:7" ht="15.75" thickBot="1" x14ac:dyDescent="0.3">
      <c r="A56" s="167"/>
      <c r="B56" s="30" t="s">
        <v>86</v>
      </c>
      <c r="C56" s="51">
        <v>0.31743374100367239</v>
      </c>
      <c r="D56" s="52">
        <v>0.30377749488618627</v>
      </c>
      <c r="E56" s="127">
        <v>0.38983666348351381</v>
      </c>
      <c r="F56" s="1">
        <f t="shared" si="10"/>
        <v>0.33701596645779081</v>
      </c>
      <c r="G56" s="2">
        <f t="shared" si="11"/>
        <v>3.7763675582211061E-2</v>
      </c>
    </row>
    <row r="57" spans="1:7" ht="15.75" thickTop="1" x14ac:dyDescent="0.25">
      <c r="A57" s="165" t="s">
        <v>87</v>
      </c>
      <c r="B57" s="31">
        <v>0.9</v>
      </c>
      <c r="C57" s="53">
        <v>23.32962868149006</v>
      </c>
      <c r="D57" s="54">
        <v>31.092493196394088</v>
      </c>
      <c r="E57" s="128">
        <v>23.416671286608608</v>
      </c>
      <c r="F57" s="1">
        <f t="shared" si="10"/>
        <v>25.946264388164252</v>
      </c>
      <c r="G57" s="2">
        <f t="shared" si="11"/>
        <v>3.639106787273251</v>
      </c>
    </row>
    <row r="58" spans="1:7" x14ac:dyDescent="0.25">
      <c r="A58" s="166"/>
      <c r="B58" s="32">
        <v>0.8</v>
      </c>
      <c r="C58" s="49">
        <v>25.788877609150969</v>
      </c>
      <c r="D58" s="50">
        <v>36.563127046559295</v>
      </c>
      <c r="E58" s="126">
        <v>25.960168819650011</v>
      </c>
      <c r="F58" s="1">
        <f t="shared" si="10"/>
        <v>29.437391158453423</v>
      </c>
      <c r="G58" s="2">
        <f t="shared" si="11"/>
        <v>5.0391414037167532</v>
      </c>
    </row>
    <row r="59" spans="1:7" x14ac:dyDescent="0.25">
      <c r="A59" s="166"/>
      <c r="B59" s="32">
        <v>0.7</v>
      </c>
      <c r="C59" s="55">
        <v>29.673665186926996</v>
      </c>
      <c r="D59" s="56">
        <v>44.318364032762631</v>
      </c>
      <c r="E59" s="129">
        <v>29.748156327033374</v>
      </c>
      <c r="F59" s="1">
        <f t="shared" si="10"/>
        <v>34.580061848907668</v>
      </c>
      <c r="G59" s="2">
        <f t="shared" si="11"/>
        <v>6.8860866632432183</v>
      </c>
    </row>
    <row r="60" spans="1:7" x14ac:dyDescent="0.25">
      <c r="A60" s="166"/>
      <c r="B60" s="32">
        <v>0.6</v>
      </c>
      <c r="C60" s="55">
        <v>37.160587768261031</v>
      </c>
      <c r="D60" s="56">
        <v>59.860700250562935</v>
      </c>
      <c r="E60" s="129">
        <v>37.999639796727422</v>
      </c>
      <c r="F60" s="1">
        <f t="shared" si="10"/>
        <v>45.006975938517122</v>
      </c>
      <c r="G60" s="2">
        <f t="shared" si="11"/>
        <v>10.508753384054479</v>
      </c>
    </row>
    <row r="61" spans="1:7" x14ac:dyDescent="0.25">
      <c r="A61" s="166"/>
      <c r="B61" s="32">
        <v>0.5</v>
      </c>
      <c r="C61" s="55">
        <v>56.309239133544551</v>
      </c>
      <c r="D61" s="56">
        <v>70.495926872652234</v>
      </c>
      <c r="E61" s="129">
        <v>59.879319841880097</v>
      </c>
      <c r="F61" s="1">
        <f t="shared" si="10"/>
        <v>62.228161949358963</v>
      </c>
      <c r="G61" s="2">
        <f t="shared" si="11"/>
        <v>6.0251319037365691</v>
      </c>
    </row>
    <row r="62" spans="1:7" x14ac:dyDescent="0.25">
      <c r="A62" s="166"/>
      <c r="B62" s="32">
        <v>0.4</v>
      </c>
      <c r="C62" s="55">
        <v>69.049301473866223</v>
      </c>
      <c r="D62" s="56">
        <v>70.213578044635838</v>
      </c>
      <c r="E62" s="129">
        <v>65.143227939522149</v>
      </c>
      <c r="F62" s="1">
        <f t="shared" si="10"/>
        <v>68.135369152674741</v>
      </c>
      <c r="G62" s="2">
        <f t="shared" si="11"/>
        <v>2.1684966778693244</v>
      </c>
    </row>
    <row r="63" spans="1:7" x14ac:dyDescent="0.25">
      <c r="A63" s="166"/>
      <c r="B63" s="32">
        <v>0.3</v>
      </c>
      <c r="C63" s="55">
        <v>68.818072971965691</v>
      </c>
      <c r="D63" s="56">
        <v>69.049155823583689</v>
      </c>
      <c r="E63" s="129">
        <v>65.075608519615756</v>
      </c>
      <c r="F63" s="1">
        <f t="shared" si="10"/>
        <v>67.647612438388379</v>
      </c>
      <c r="G63" s="2">
        <f t="shared" si="11"/>
        <v>1.8211265633693654</v>
      </c>
    </row>
    <row r="64" spans="1:7" x14ac:dyDescent="0.25">
      <c r="A64" s="166"/>
      <c r="B64" s="32">
        <v>0.2</v>
      </c>
      <c r="C64" s="55">
        <v>70.057840983774767</v>
      </c>
      <c r="D64" s="56">
        <v>70.338303411285622</v>
      </c>
      <c r="E64" s="129">
        <v>66.355691089046658</v>
      </c>
      <c r="F64" s="1">
        <f t="shared" si="10"/>
        <v>68.917278494702359</v>
      </c>
      <c r="G64" s="2">
        <f t="shared" si="11"/>
        <v>1.8149310952800588</v>
      </c>
    </row>
    <row r="65" spans="1:7" x14ac:dyDescent="0.25">
      <c r="A65" s="166"/>
      <c r="B65" s="32">
        <v>0.1</v>
      </c>
      <c r="C65" s="55">
        <v>74.836515939227382</v>
      </c>
      <c r="D65" s="56">
        <v>73.972716318449656</v>
      </c>
      <c r="E65" s="129">
        <v>71.130791207808073</v>
      </c>
      <c r="F65" s="1">
        <f t="shared" si="10"/>
        <v>73.313341155161694</v>
      </c>
      <c r="G65" s="2">
        <f t="shared" si="11"/>
        <v>1.5830730980667398</v>
      </c>
    </row>
    <row r="66" spans="1:7" x14ac:dyDescent="0.25">
      <c r="A66" s="166"/>
      <c r="B66" s="32">
        <v>0.5</v>
      </c>
      <c r="C66" s="55">
        <v>25.355343843687098</v>
      </c>
      <c r="D66" s="56">
        <v>45.829535470690743</v>
      </c>
      <c r="E66" s="129">
        <v>23.670136456118506</v>
      </c>
      <c r="F66" s="1">
        <f t="shared" si="10"/>
        <v>31.61833859016545</v>
      </c>
      <c r="G66" s="2">
        <f t="shared" si="11"/>
        <v>10.072357174219206</v>
      </c>
    </row>
    <row r="67" spans="1:7" ht="15.75" thickBot="1" x14ac:dyDescent="0.3">
      <c r="A67" s="167"/>
      <c r="B67" s="33">
        <v>0.2</v>
      </c>
      <c r="C67" s="57">
        <v>60.77585827470439</v>
      </c>
      <c r="D67" s="58">
        <v>62.095870072518046</v>
      </c>
      <c r="E67" s="130">
        <v>58.774240663979363</v>
      </c>
      <c r="F67" s="1">
        <f t="shared" si="10"/>
        <v>60.548656337067264</v>
      </c>
      <c r="G67" s="2">
        <f t="shared" si="11"/>
        <v>1.3655331125649079</v>
      </c>
    </row>
    <row r="68" spans="1:7" ht="15.75" thickTop="1" x14ac:dyDescent="0.25">
      <c r="A68" s="165" t="s">
        <v>88</v>
      </c>
      <c r="B68" s="31">
        <v>0.9</v>
      </c>
      <c r="C68" s="47">
        <v>24.297922844467276</v>
      </c>
      <c r="D68" s="59">
        <v>39.000183003760867</v>
      </c>
      <c r="E68" s="131">
        <v>23.908776652309037</v>
      </c>
      <c r="F68" s="1">
        <f t="shared" si="10"/>
        <v>29.068960833512392</v>
      </c>
      <c r="G68" s="2">
        <f t="shared" si="11"/>
        <v>7.024231347549418</v>
      </c>
    </row>
    <row r="69" spans="1:7" x14ac:dyDescent="0.25">
      <c r="A69" s="166"/>
      <c r="B69" s="32">
        <v>0.8</v>
      </c>
      <c r="C69" s="55">
        <v>27.517418227289948</v>
      </c>
      <c r="D69" s="56">
        <v>44.923287535382897</v>
      </c>
      <c r="E69" s="129">
        <v>26.518097317160258</v>
      </c>
      <c r="F69" s="1">
        <f t="shared" si="10"/>
        <v>32.986267693277703</v>
      </c>
      <c r="G69" s="2">
        <f t="shared" si="11"/>
        <v>8.450601264741076</v>
      </c>
    </row>
    <row r="70" spans="1:7" x14ac:dyDescent="0.25">
      <c r="A70" s="166"/>
      <c r="B70" s="32">
        <v>0.7</v>
      </c>
      <c r="C70" s="55">
        <v>31.664117780062206</v>
      </c>
      <c r="D70" s="56">
        <v>54.129308478231714</v>
      </c>
      <c r="E70" s="129">
        <v>30.542522002370774</v>
      </c>
      <c r="F70" s="1">
        <f t="shared" si="10"/>
        <v>38.778649420221562</v>
      </c>
      <c r="G70" s="2">
        <f t="shared" si="11"/>
        <v>10.864208650689816</v>
      </c>
    </row>
    <row r="71" spans="1:7" x14ac:dyDescent="0.25">
      <c r="A71" s="166"/>
      <c r="B71" s="32">
        <v>0.6</v>
      </c>
      <c r="C71" s="55">
        <v>39.521413006550866</v>
      </c>
      <c r="D71" s="56">
        <v>67.473553385816828</v>
      </c>
      <c r="E71" s="129">
        <v>38.425244344630876</v>
      </c>
      <c r="F71" s="1">
        <f t="shared" si="10"/>
        <v>48.473403578999523</v>
      </c>
      <c r="G71" s="2">
        <f t="shared" si="11"/>
        <v>13.442585712205048</v>
      </c>
    </row>
    <row r="72" spans="1:7" x14ac:dyDescent="0.25">
      <c r="A72" s="166"/>
      <c r="B72" s="32">
        <v>0.5</v>
      </c>
      <c r="C72" s="55">
        <v>55.974061317848886</v>
      </c>
      <c r="D72" s="56">
        <v>75.564501438795091</v>
      </c>
      <c r="E72" s="129">
        <v>56.335929519154014</v>
      </c>
      <c r="F72" s="1">
        <f t="shared" si="10"/>
        <v>62.62483075859933</v>
      </c>
      <c r="G72" s="2">
        <f t="shared" si="11"/>
        <v>9.1509214520621533</v>
      </c>
    </row>
    <row r="73" spans="1:7" x14ac:dyDescent="0.25">
      <c r="A73" s="166"/>
      <c r="B73" s="32">
        <v>0.4</v>
      </c>
      <c r="C73" s="55">
        <v>69.362055967007464</v>
      </c>
      <c r="D73" s="56">
        <v>74.053857545541319</v>
      </c>
      <c r="E73" s="129">
        <v>60.464008584509479</v>
      </c>
      <c r="F73" s="1">
        <f t="shared" si="10"/>
        <v>67.959974032352761</v>
      </c>
      <c r="G73" s="2">
        <f t="shared" si="11"/>
        <v>5.635918973248188</v>
      </c>
    </row>
    <row r="74" spans="1:7" x14ac:dyDescent="0.25">
      <c r="A74" s="166"/>
      <c r="B74" s="32">
        <v>0.3</v>
      </c>
      <c r="C74" s="55">
        <v>69.988705889598023</v>
      </c>
      <c r="D74" s="56">
        <v>73.878344468208766</v>
      </c>
      <c r="E74" s="129">
        <v>60.109323040885151</v>
      </c>
      <c r="F74" s="1">
        <f t="shared" si="10"/>
        <v>67.992124466230649</v>
      </c>
      <c r="G74" s="2">
        <f t="shared" si="11"/>
        <v>5.7957594153901857</v>
      </c>
    </row>
    <row r="75" spans="1:7" x14ac:dyDescent="0.25">
      <c r="A75" s="166"/>
      <c r="B75" s="32">
        <v>0.2</v>
      </c>
      <c r="C75" s="55">
        <v>73.582671021628414</v>
      </c>
      <c r="D75" s="56">
        <v>80.16704882461859</v>
      </c>
      <c r="E75" s="129">
        <v>65.606922184300089</v>
      </c>
      <c r="F75" s="1">
        <f t="shared" si="10"/>
        <v>73.118880676849031</v>
      </c>
      <c r="G75" s="2">
        <f t="shared" si="11"/>
        <v>5.9531867129272911</v>
      </c>
    </row>
    <row r="76" spans="1:7" x14ac:dyDescent="0.25">
      <c r="A76" s="166"/>
      <c r="B76" s="32">
        <v>0.1</v>
      </c>
      <c r="C76" s="55">
        <v>126.23204343758522</v>
      </c>
      <c r="D76" s="56">
        <v>141.03901908712751</v>
      </c>
      <c r="E76" s="129">
        <v>122.71833036776154</v>
      </c>
      <c r="F76" s="1">
        <f t="shared" si="10"/>
        <v>129.99646429749143</v>
      </c>
      <c r="G76" s="2">
        <f t="shared" si="11"/>
        <v>7.9389359948651661</v>
      </c>
    </row>
    <row r="77" spans="1:7" x14ac:dyDescent="0.25">
      <c r="A77" s="166"/>
      <c r="B77" s="32">
        <v>0.5</v>
      </c>
      <c r="C77" s="55">
        <v>28.372714849845902</v>
      </c>
      <c r="D77" s="56">
        <v>50.244486149258414</v>
      </c>
      <c r="E77" s="129">
        <v>23.999400244405628</v>
      </c>
      <c r="F77" s="1">
        <f t="shared" si="10"/>
        <v>34.205533747836647</v>
      </c>
      <c r="G77" s="2">
        <f t="shared" si="11"/>
        <v>11.480925217096521</v>
      </c>
    </row>
    <row r="78" spans="1:7" ht="15.75" thickBot="1" x14ac:dyDescent="0.3">
      <c r="A78" s="167"/>
      <c r="B78" s="33">
        <v>0.2</v>
      </c>
      <c r="C78" s="57">
        <v>77.621233383651287</v>
      </c>
      <c r="D78" s="58">
        <v>80.243081470936033</v>
      </c>
      <c r="E78" s="130">
        <v>69.139801092381376</v>
      </c>
      <c r="F78" s="1">
        <f t="shared" si="10"/>
        <v>75.668038648989565</v>
      </c>
      <c r="G78" s="2">
        <f t="shared" si="11"/>
        <v>4.738631029093523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2.9152127999999999E-2</v>
      </c>
      <c r="D80">
        <f t="shared" ref="D80:E80" si="12">D25</f>
        <v>2.9097312000000004E-2</v>
      </c>
      <c r="E80">
        <f t="shared" si="12"/>
        <v>2.8930368000000005E-2</v>
      </c>
      <c r="F80" s="1">
        <f t="shared" ref="F80:F104" si="13">AVERAGE(C80:E80)</f>
        <v>2.9059935999999998E-2</v>
      </c>
      <c r="G80" s="2">
        <f t="shared" ref="G80:G104" si="14">_xlfn.STDEV.P(C80:E80)</f>
        <v>9.4311888370446852E-5</v>
      </c>
    </row>
    <row r="81" spans="1:7" ht="15.75" thickTop="1" x14ac:dyDescent="0.25">
      <c r="A81" s="161" t="s">
        <v>90</v>
      </c>
      <c r="B81" s="38" t="s">
        <v>73</v>
      </c>
      <c r="C81">
        <f>C33/C80</f>
        <v>182.88120960008726</v>
      </c>
      <c r="D81">
        <f t="shared" ref="D81:E81" si="15">D33/D80</f>
        <v>183.54617432446295</v>
      </c>
      <c r="E81">
        <f t="shared" si="15"/>
        <v>183.44962866654072</v>
      </c>
      <c r="F81" s="1">
        <f t="shared" si="13"/>
        <v>183.29233753036365</v>
      </c>
      <c r="G81" s="2">
        <f t="shared" si="14"/>
        <v>0.29337109299306297</v>
      </c>
    </row>
    <row r="82" spans="1:7" x14ac:dyDescent="0.25">
      <c r="A82" s="162"/>
      <c r="B82" s="38" t="s">
        <v>74</v>
      </c>
      <c r="C82">
        <f>C34/C80</f>
        <v>167.85542747018778</v>
      </c>
      <c r="D82">
        <f t="shared" ref="D82:E82" si="16">D34/D80</f>
        <v>167.59785851154322</v>
      </c>
      <c r="E82">
        <f t="shared" si="16"/>
        <v>167.7195186367862</v>
      </c>
      <c r="F82" s="1">
        <f t="shared" si="13"/>
        <v>167.72426820617241</v>
      </c>
      <c r="G82" s="2">
        <f t="shared" si="14"/>
        <v>0.10520570618658102</v>
      </c>
    </row>
    <row r="83" spans="1:7" x14ac:dyDescent="0.25">
      <c r="A83" s="162"/>
      <c r="B83" s="38" t="s">
        <v>75</v>
      </c>
      <c r="C83">
        <f>C35/C80</f>
        <v>160.07965475812193</v>
      </c>
      <c r="D83">
        <f t="shared" ref="D83:E83" si="17">D35/D80</f>
        <v>159.88956240342546</v>
      </c>
      <c r="E83">
        <f t="shared" si="17"/>
        <v>159.86863319205602</v>
      </c>
      <c r="F83" s="1">
        <f t="shared" si="13"/>
        <v>159.9459501178678</v>
      </c>
      <c r="G83" s="2">
        <f t="shared" si="14"/>
        <v>9.4928766596330774E-2</v>
      </c>
    </row>
    <row r="84" spans="1:7" x14ac:dyDescent="0.25">
      <c r="A84" s="162"/>
      <c r="B84" s="38" t="s">
        <v>76</v>
      </c>
      <c r="C84">
        <f>C36/C80</f>
        <v>160.640126970322</v>
      </c>
      <c r="D84">
        <f t="shared" ref="D84:E84" si="18">D36/D80</f>
        <v>160.39261462037919</v>
      </c>
      <c r="E84">
        <f t="shared" si="18"/>
        <v>160.45753008877182</v>
      </c>
      <c r="F84" s="1">
        <f t="shared" si="13"/>
        <v>160.49675722649101</v>
      </c>
      <c r="G84" s="2">
        <f t="shared" si="14"/>
        <v>0.1047844361655008</v>
      </c>
    </row>
    <row r="85" spans="1:7" x14ac:dyDescent="0.25">
      <c r="A85" s="162"/>
      <c r="B85" s="38" t="s">
        <v>77</v>
      </c>
      <c r="C85">
        <f>C37/C80</f>
        <v>161.12205582457193</v>
      </c>
      <c r="D85">
        <f t="shared" ref="D85:E85" si="19">D37/D80</f>
        <v>160.94143101030727</v>
      </c>
      <c r="E85">
        <f t="shared" si="19"/>
        <v>160.92800737872838</v>
      </c>
      <c r="F85" s="1">
        <f t="shared" si="13"/>
        <v>160.99716473786918</v>
      </c>
      <c r="G85" s="2">
        <f t="shared" si="14"/>
        <v>8.8481207513363358E-2</v>
      </c>
    </row>
    <row r="86" spans="1:7" x14ac:dyDescent="0.25">
      <c r="A86" s="162"/>
      <c r="B86" s="38" t="s">
        <v>78</v>
      </c>
      <c r="C86">
        <f>C38/C80</f>
        <v>161.50195516015157</v>
      </c>
      <c r="D86">
        <f t="shared" ref="D86:E86" si="20">D38/D80</f>
        <v>161.33824299774918</v>
      </c>
      <c r="E86">
        <f t="shared" si="20"/>
        <v>161.30746686158773</v>
      </c>
      <c r="F86" s="1">
        <f t="shared" si="13"/>
        <v>161.38255500649618</v>
      </c>
      <c r="G86" s="2">
        <f t="shared" si="14"/>
        <v>8.5358421412139895E-2</v>
      </c>
    </row>
    <row r="87" spans="1:7" x14ac:dyDescent="0.25">
      <c r="A87" s="162"/>
      <c r="B87" s="38" t="s">
        <v>79</v>
      </c>
      <c r="C87">
        <f>C39/C80</f>
        <v>162.43112930739943</v>
      </c>
      <c r="D87">
        <f t="shared" ref="D87:E87" si="21">D39/D80</f>
        <v>162.28519767942865</v>
      </c>
      <c r="E87">
        <f t="shared" si="21"/>
        <v>162.24938831859191</v>
      </c>
      <c r="F87" s="1">
        <f t="shared" si="13"/>
        <v>162.32190510180666</v>
      </c>
      <c r="G87" s="2">
        <f t="shared" si="14"/>
        <v>7.8604592301858914E-2</v>
      </c>
    </row>
    <row r="88" spans="1:7" x14ac:dyDescent="0.25">
      <c r="A88" s="162"/>
      <c r="B88" s="38" t="s">
        <v>80</v>
      </c>
      <c r="C88">
        <f>C40/C80</f>
        <v>162.15898690015257</v>
      </c>
      <c r="D88">
        <f t="shared" ref="D88:E88" si="22">D40/D80</f>
        <v>162.04817622123494</v>
      </c>
      <c r="E88">
        <f t="shared" si="22"/>
        <v>161.98322860364294</v>
      </c>
      <c r="F88" s="1">
        <f t="shared" si="13"/>
        <v>162.06346390834349</v>
      </c>
      <c r="G88" s="2">
        <f t="shared" si="14"/>
        <v>7.25627532132848E-2</v>
      </c>
    </row>
    <row r="89" spans="1:7" x14ac:dyDescent="0.25">
      <c r="A89" s="162"/>
      <c r="B89" s="38" t="s">
        <v>80</v>
      </c>
      <c r="C89">
        <f>C41/C80</f>
        <v>155.38100100959372</v>
      </c>
      <c r="D89">
        <f t="shared" ref="D89:E89" si="23">D41/D80</f>
        <v>155.39827364394435</v>
      </c>
      <c r="E89">
        <f t="shared" si="23"/>
        <v>155.26839027265001</v>
      </c>
      <c r="F89" s="1">
        <f t="shared" si="13"/>
        <v>155.3492216420627</v>
      </c>
      <c r="G89" s="2">
        <f t="shared" si="14"/>
        <v>5.7589748423365901E-2</v>
      </c>
    </row>
    <row r="90" spans="1:7" x14ac:dyDescent="0.25">
      <c r="A90" s="162"/>
      <c r="B90" s="38" t="s">
        <v>80</v>
      </c>
      <c r="C90">
        <f>C42/C80</f>
        <v>149.00775846256832</v>
      </c>
      <c r="D90">
        <f t="shared" ref="D90:E90" si="24">D42/D80</f>
        <v>149.0790736521721</v>
      </c>
      <c r="E90">
        <f t="shared" si="24"/>
        <v>149.06450340379655</v>
      </c>
      <c r="F90" s="1">
        <f t="shared" si="13"/>
        <v>149.05044517284566</v>
      </c>
      <c r="G90" s="2">
        <f t="shared" si="14"/>
        <v>3.0764584185469779E-2</v>
      </c>
    </row>
    <row r="91" spans="1:7" x14ac:dyDescent="0.25">
      <c r="A91" s="162"/>
      <c r="B91" s="38" t="s">
        <v>80</v>
      </c>
      <c r="C91">
        <f>C43/C80</f>
        <v>132.73379245738465</v>
      </c>
      <c r="D91">
        <f t="shared" ref="D91:E91" si="25">D43/D80</f>
        <v>133.09628501727153</v>
      </c>
      <c r="E91">
        <f t="shared" si="25"/>
        <v>132.6967299308746</v>
      </c>
      <c r="F91" s="1">
        <f t="shared" si="13"/>
        <v>132.84226913517691</v>
      </c>
      <c r="G91" s="2">
        <f t="shared" si="14"/>
        <v>0.18025252468883937</v>
      </c>
    </row>
    <row r="92" spans="1:7" ht="15.75" thickBot="1" x14ac:dyDescent="0.3">
      <c r="A92" s="163"/>
      <c r="B92" s="39" t="s">
        <v>80</v>
      </c>
      <c r="C92">
        <f>C44/C80</f>
        <v>48.559570933573085</v>
      </c>
      <c r="D92">
        <f t="shared" ref="D92:E92" si="26">D44/D80</f>
        <v>47.551798328297608</v>
      </c>
      <c r="E92">
        <f t="shared" si="26"/>
        <v>52.050466711443789</v>
      </c>
      <c r="F92" s="1">
        <f t="shared" si="13"/>
        <v>49.387278657771496</v>
      </c>
      <c r="G92" s="2">
        <f t="shared" si="14"/>
        <v>1.9275769527056592</v>
      </c>
    </row>
    <row r="93" spans="1:7" ht="15.75" thickTop="1" x14ac:dyDescent="0.25">
      <c r="A93" s="161" t="s">
        <v>91</v>
      </c>
      <c r="B93" s="40" t="s">
        <v>73</v>
      </c>
      <c r="C93">
        <f>C45/C80</f>
        <v>167.1107694117037</v>
      </c>
      <c r="D93">
        <f t="shared" ref="D93:E93" si="27">D45/D80</f>
        <v>166.79579484859573</v>
      </c>
      <c r="E93">
        <f t="shared" si="27"/>
        <v>166.94947035610735</v>
      </c>
      <c r="F93" s="1">
        <f t="shared" si="13"/>
        <v>166.95201153880225</v>
      </c>
      <c r="G93" s="2">
        <f t="shared" si="14"/>
        <v>0.12860038117719638</v>
      </c>
    </row>
    <row r="94" spans="1:7" x14ac:dyDescent="0.25">
      <c r="A94" s="162"/>
      <c r="B94" s="38" t="s">
        <v>74</v>
      </c>
      <c r="C94">
        <f>C46/C80</f>
        <v>159.65071917616393</v>
      </c>
      <c r="D94">
        <f t="shared" ref="D94:E94" si="28">D46/D80</f>
        <v>159.41109934949591</v>
      </c>
      <c r="E94">
        <f t="shared" si="28"/>
        <v>159.40524874098239</v>
      </c>
      <c r="F94" s="1">
        <f t="shared" si="13"/>
        <v>159.48902242221411</v>
      </c>
      <c r="G94" s="2">
        <f t="shared" si="14"/>
        <v>0.11436181642324068</v>
      </c>
    </row>
    <row r="95" spans="1:7" x14ac:dyDescent="0.25">
      <c r="A95" s="162"/>
      <c r="B95" s="38" t="s">
        <v>75</v>
      </c>
      <c r="C95">
        <f>C47/C80</f>
        <v>160.23803920042184</v>
      </c>
      <c r="D95">
        <f t="shared" ref="D95:E95" si="29">D47/D80</f>
        <v>159.91832898415177</v>
      </c>
      <c r="E95">
        <f t="shared" si="29"/>
        <v>159.98592811170633</v>
      </c>
      <c r="F95" s="1">
        <f t="shared" si="13"/>
        <v>160.04743209875997</v>
      </c>
      <c r="G95" s="2">
        <f t="shared" si="14"/>
        <v>0.13757594488011579</v>
      </c>
    </row>
    <row r="96" spans="1:7" x14ac:dyDescent="0.25">
      <c r="A96" s="162"/>
      <c r="B96" s="38" t="s">
        <v>76</v>
      </c>
      <c r="C96">
        <f>C48/C80</f>
        <v>160.75735271730207</v>
      </c>
      <c r="D96">
        <f t="shared" ref="D96:E96" si="30">D48/D80</f>
        <v>160.4839408224791</v>
      </c>
      <c r="E96">
        <f t="shared" si="30"/>
        <v>160.48309519725638</v>
      </c>
      <c r="F96" s="1">
        <f t="shared" si="13"/>
        <v>160.57479624567918</v>
      </c>
      <c r="G96" s="2">
        <f t="shared" si="14"/>
        <v>0.12908738066145511</v>
      </c>
    </row>
    <row r="97" spans="1:7" x14ac:dyDescent="0.25">
      <c r="A97" s="162"/>
      <c r="B97" s="38" t="s">
        <v>77</v>
      </c>
      <c r="C97">
        <f>C49/C80</f>
        <v>161.14169050427813</v>
      </c>
      <c r="D97">
        <f t="shared" ref="D97:E97" si="31">D49/D80</f>
        <v>160.89855007258319</v>
      </c>
      <c r="E97">
        <f t="shared" si="31"/>
        <v>160.88217413849995</v>
      </c>
      <c r="F97" s="1">
        <f t="shared" si="13"/>
        <v>160.97413823845375</v>
      </c>
      <c r="G97" s="2">
        <f t="shared" si="14"/>
        <v>0.11866581687365001</v>
      </c>
    </row>
    <row r="98" spans="1:7" x14ac:dyDescent="0.25">
      <c r="A98" s="162"/>
      <c r="B98" s="38" t="s">
        <v>78</v>
      </c>
      <c r="C98">
        <f>C50/C80</f>
        <v>161.48260361938068</v>
      </c>
      <c r="D98">
        <f t="shared" ref="D98:E98" si="32">D50/D80</f>
        <v>161.25180478509472</v>
      </c>
      <c r="E98">
        <f t="shared" si="32"/>
        <v>161.22224137484912</v>
      </c>
      <c r="F98" s="1">
        <f t="shared" si="13"/>
        <v>161.31888325977482</v>
      </c>
      <c r="G98" s="2">
        <f t="shared" si="14"/>
        <v>0.11639520585326855</v>
      </c>
    </row>
    <row r="99" spans="1:7" x14ac:dyDescent="0.25">
      <c r="A99" s="162"/>
      <c r="B99" s="38" t="s">
        <v>79</v>
      </c>
      <c r="C99">
        <f>C51/C80</f>
        <v>162.32721666911181</v>
      </c>
      <c r="D99">
        <f t="shared" ref="D99:E99" si="33">D51/D80</f>
        <v>162.10998177037027</v>
      </c>
      <c r="E99">
        <f t="shared" si="33"/>
        <v>162.06543773806467</v>
      </c>
      <c r="F99" s="1">
        <f t="shared" si="13"/>
        <v>162.16754539251556</v>
      </c>
      <c r="G99" s="2">
        <f t="shared" si="14"/>
        <v>0.11435975437455027</v>
      </c>
    </row>
    <row r="100" spans="1:7" x14ac:dyDescent="0.25">
      <c r="A100" s="162"/>
      <c r="B100" s="38" t="s">
        <v>82</v>
      </c>
      <c r="C100">
        <f>C52/C80</f>
        <v>155.06595882002281</v>
      </c>
      <c r="D100">
        <f t="shared" ref="D100:E100" si="34">D52/D80</f>
        <v>154.92067889593298</v>
      </c>
      <c r="E100">
        <f t="shared" si="34"/>
        <v>154.82161083391387</v>
      </c>
      <c r="F100" s="1">
        <f t="shared" si="13"/>
        <v>154.93608284995653</v>
      </c>
      <c r="G100" s="2">
        <f t="shared" si="14"/>
        <v>0.10034754914311561</v>
      </c>
    </row>
    <row r="101" spans="1:7" x14ac:dyDescent="0.25">
      <c r="A101" s="162"/>
      <c r="B101" s="38" t="s">
        <v>83</v>
      </c>
      <c r="C101">
        <f>C53/C80</f>
        <v>148.75899979033525</v>
      </c>
      <c r="D101">
        <f t="shared" ref="D101:E101" si="35">D53/D80</f>
        <v>148.67219659069468</v>
      </c>
      <c r="E101">
        <f t="shared" si="35"/>
        <v>148.74248192111261</v>
      </c>
      <c r="F101" s="1">
        <f t="shared" si="13"/>
        <v>148.72455943404751</v>
      </c>
      <c r="G101" s="2">
        <f t="shared" si="14"/>
        <v>3.7635183219155655E-2</v>
      </c>
    </row>
    <row r="102" spans="1:7" x14ac:dyDescent="0.25">
      <c r="A102" s="162"/>
      <c r="B102" s="38" t="s">
        <v>84</v>
      </c>
      <c r="C102">
        <f>C54/C80</f>
        <v>138.24537996680328</v>
      </c>
      <c r="D102">
        <f t="shared" ref="D102:E102" si="36">D54/D80</f>
        <v>137.46076544472717</v>
      </c>
      <c r="E102">
        <f t="shared" si="36"/>
        <v>138.55432657299036</v>
      </c>
      <c r="F102" s="1">
        <f t="shared" si="13"/>
        <v>138.08682399484027</v>
      </c>
      <c r="G102" s="2">
        <f t="shared" si="14"/>
        <v>0.46030713116057376</v>
      </c>
    </row>
    <row r="103" spans="1:7" x14ac:dyDescent="0.25">
      <c r="A103" s="162"/>
      <c r="B103" s="38" t="s">
        <v>85</v>
      </c>
      <c r="C103">
        <f>C55/C80</f>
        <v>48.428144550990133</v>
      </c>
      <c r="D103">
        <f t="shared" ref="D103:E103" si="37">D55/D80</f>
        <v>47.229371434734794</v>
      </c>
      <c r="E103">
        <f t="shared" si="37"/>
        <v>51.822784250896696</v>
      </c>
      <c r="F103" s="1">
        <f t="shared" si="13"/>
        <v>49.160100078873874</v>
      </c>
      <c r="G103" s="2">
        <f t="shared" si="14"/>
        <v>1.9453670597978467</v>
      </c>
    </row>
    <row r="104" spans="1:7" ht="15.75" thickBot="1" x14ac:dyDescent="0.3">
      <c r="A104" s="163"/>
      <c r="B104" s="39" t="s">
        <v>86</v>
      </c>
      <c r="C104">
        <f>C56/C80</f>
        <v>10.888870308324401</v>
      </c>
      <c r="D104">
        <f t="shared" ref="D104:E104" si="38">D56/D80</f>
        <v>10.440053530930493</v>
      </c>
      <c r="E104">
        <f t="shared" si="38"/>
        <v>13.474998433601458</v>
      </c>
      <c r="F104" s="1">
        <f t="shared" si="13"/>
        <v>11.601307424285451</v>
      </c>
      <c r="G104" s="2">
        <f t="shared" si="14"/>
        <v>1.337509532355136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0.29833656699545452</v>
      </c>
      <c r="D106">
        <f t="shared" ref="D106:E106" si="39">D55/D51</f>
        <v>0.29134153812709368</v>
      </c>
      <c r="E106">
        <f t="shared" si="39"/>
        <v>0.31976456531499531</v>
      </c>
      <c r="F106" s="1">
        <f>AVERAGE(C106:E106)</f>
        <v>0.30314755681251448</v>
      </c>
      <c r="G106" s="2">
        <f>_xlfn.STDEV.P(C106:E106)</f>
        <v>1.2092045206000513E-2</v>
      </c>
    </row>
    <row r="107" spans="1:7" ht="15.75" thickBot="1" x14ac:dyDescent="0.3">
      <c r="A107" s="36"/>
      <c r="B107" s="39" t="s">
        <v>94</v>
      </c>
      <c r="C107">
        <f>(1-C45/C33)*100</f>
        <v>8.623324519161546</v>
      </c>
      <c r="D107">
        <f t="shared" ref="D107:E107" si="40">(1-D45/D33)*100</f>
        <v>9.1259758137245743</v>
      </c>
      <c r="E107">
        <f t="shared" si="40"/>
        <v>8.9943808719427647</v>
      </c>
      <c r="F107" s="1">
        <f>AVERAGE(C107:E107)</f>
        <v>8.9145604016096289</v>
      </c>
      <c r="G107" s="2">
        <f>_xlfn.STDEV.P(C107:E107)</f>
        <v>0.2128270997697809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9.6289983999999999E-3</v>
      </c>
      <c r="D110">
        <f t="shared" ref="D110:E110" si="41">D16*D21/10^4</f>
        <v>9.6289983999999999E-3</v>
      </c>
      <c r="E110">
        <f t="shared" si="41"/>
        <v>9.6289983999999999E-3</v>
      </c>
      <c r="F110" s="1">
        <f t="shared" ref="F110:F134" si="42">AVERAGE(C110:E110)</f>
        <v>9.6289983999999999E-3</v>
      </c>
      <c r="G110" s="2">
        <f t="shared" ref="G110:G134" si="43">_xlfn.STDEV.P(C110:E110)</f>
        <v>0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553.67923117076975</v>
      </c>
      <c r="D111">
        <f t="shared" ref="D111:E111" si="44">D33/D110</f>
        <v>554.64754264839098</v>
      </c>
      <c r="E111">
        <f t="shared" si="44"/>
        <v>551.17521535639401</v>
      </c>
      <c r="F111" s="1">
        <f t="shared" si="42"/>
        <v>553.16732972518491</v>
      </c>
      <c r="G111" s="2">
        <f t="shared" si="43"/>
        <v>1.4630553699206899</v>
      </c>
    </row>
    <row r="112" spans="1:7" x14ac:dyDescent="0.25">
      <c r="A112" s="162"/>
      <c r="B112" s="38" t="s">
        <v>74</v>
      </c>
      <c r="C112">
        <f>C34/C110</f>
        <v>508.18815247758585</v>
      </c>
      <c r="D112">
        <f t="shared" ref="D112:E112" si="45">D34/D110</f>
        <v>506.45425173632071</v>
      </c>
      <c r="E112">
        <f t="shared" si="45"/>
        <v>503.9140306581715</v>
      </c>
      <c r="F112" s="1">
        <f t="shared" si="42"/>
        <v>506.18547829069263</v>
      </c>
      <c r="G112" s="2">
        <f t="shared" si="43"/>
        <v>1.7552224371105645</v>
      </c>
    </row>
    <row r="113" spans="1:7" x14ac:dyDescent="0.25">
      <c r="A113" s="162"/>
      <c r="B113" s="38" t="s">
        <v>75</v>
      </c>
      <c r="C113">
        <f>C35/C110</f>
        <v>484.64672978911074</v>
      </c>
      <c r="D113">
        <f t="shared" ref="D113:E113" si="46">D35/D110</f>
        <v>483.16099863470134</v>
      </c>
      <c r="E113">
        <f t="shared" si="46"/>
        <v>480.32601084482434</v>
      </c>
      <c r="F113" s="1">
        <f t="shared" si="42"/>
        <v>482.71124642287879</v>
      </c>
      <c r="G113" s="2">
        <f t="shared" si="43"/>
        <v>1.7923654459788214</v>
      </c>
    </row>
    <row r="114" spans="1:7" x14ac:dyDescent="0.25">
      <c r="A114" s="162"/>
      <c r="B114" s="38" t="s">
        <v>76</v>
      </c>
      <c r="C114">
        <f>C36/C110</f>
        <v>486.34357893081375</v>
      </c>
      <c r="D114">
        <f t="shared" ref="D114:E114" si="47">D36/D110</f>
        <v>484.68114296341929</v>
      </c>
      <c r="E114">
        <f t="shared" si="47"/>
        <v>482.09535415845977</v>
      </c>
      <c r="F114" s="1">
        <f t="shared" si="42"/>
        <v>484.37335868423094</v>
      </c>
      <c r="G114" s="2">
        <f t="shared" si="43"/>
        <v>1.7479324550254842</v>
      </c>
    </row>
    <row r="115" spans="1:7" x14ac:dyDescent="0.25">
      <c r="A115" s="162"/>
      <c r="B115" s="38" t="s">
        <v>77</v>
      </c>
      <c r="C115">
        <f>C37/C110</f>
        <v>487.802635320935</v>
      </c>
      <c r="D115">
        <f t="shared" ref="D115:E115" si="48">D37/D110</f>
        <v>486.33957939315752</v>
      </c>
      <c r="E115">
        <f t="shared" si="48"/>
        <v>483.50890524328349</v>
      </c>
      <c r="F115" s="1">
        <f t="shared" si="42"/>
        <v>485.88370665245867</v>
      </c>
      <c r="G115" s="2">
        <f t="shared" si="43"/>
        <v>1.7823008466055905</v>
      </c>
    </row>
    <row r="116" spans="1:7" x14ac:dyDescent="0.25">
      <c r="A116" s="162"/>
      <c r="B116" s="38" t="s">
        <v>78</v>
      </c>
      <c r="C116">
        <f>C38/C110</f>
        <v>488.95279378995423</v>
      </c>
      <c r="D116">
        <f t="shared" ref="D116:E116" si="49">D38/D110</f>
        <v>487.5386825318534</v>
      </c>
      <c r="E116">
        <f t="shared" si="49"/>
        <v>484.64899292677615</v>
      </c>
      <c r="F116" s="1">
        <f t="shared" si="42"/>
        <v>487.04682308286124</v>
      </c>
      <c r="G116" s="2">
        <f t="shared" si="43"/>
        <v>1.7911113413455979</v>
      </c>
    </row>
    <row r="117" spans="1:7" x14ac:dyDescent="0.25">
      <c r="A117" s="162"/>
      <c r="B117" s="38" t="s">
        <v>79</v>
      </c>
      <c r="C117">
        <f>C39/C110</f>
        <v>491.76590088060038</v>
      </c>
      <c r="D117">
        <f t="shared" ref="D117:E117" si="50">D39/D110</f>
        <v>490.40022998238442</v>
      </c>
      <c r="E117">
        <f t="shared" si="50"/>
        <v>487.4790000828919</v>
      </c>
      <c r="F117" s="1">
        <f t="shared" si="42"/>
        <v>489.8817103152922</v>
      </c>
      <c r="G117" s="2">
        <f t="shared" si="43"/>
        <v>1.7881138286323663</v>
      </c>
    </row>
    <row r="118" spans="1:7" x14ac:dyDescent="0.25">
      <c r="A118" s="162"/>
      <c r="B118" s="38" t="s">
        <v>80</v>
      </c>
      <c r="C118">
        <f>C40/C110</f>
        <v>490.94198026490182</v>
      </c>
      <c r="D118">
        <f t="shared" ref="D118:E118" si="51">D40/D110</f>
        <v>489.68398857977326</v>
      </c>
      <c r="E118">
        <f t="shared" si="51"/>
        <v>486.67932204989432</v>
      </c>
      <c r="F118" s="1">
        <f t="shared" si="42"/>
        <v>489.10176363152317</v>
      </c>
      <c r="G118" s="2">
        <f t="shared" si="43"/>
        <v>1.7882585909698774</v>
      </c>
    </row>
    <row r="119" spans="1:7" x14ac:dyDescent="0.25">
      <c r="A119" s="162"/>
      <c r="B119" s="38" t="s">
        <v>80</v>
      </c>
      <c r="C119">
        <f>C41/C110</f>
        <v>470.42139192792939</v>
      </c>
      <c r="D119">
        <f t="shared" ref="D119:E119" si="52">D41/D110</f>
        <v>469.5890335259819</v>
      </c>
      <c r="E119">
        <f t="shared" si="52"/>
        <v>466.50456078125279</v>
      </c>
      <c r="F119" s="1">
        <f t="shared" si="42"/>
        <v>468.8383287450547</v>
      </c>
      <c r="G119" s="2">
        <f t="shared" si="43"/>
        <v>1.6848461470757912</v>
      </c>
    </row>
    <row r="120" spans="1:7" x14ac:dyDescent="0.25">
      <c r="A120" s="162"/>
      <c r="B120" s="38" t="s">
        <v>80</v>
      </c>
      <c r="C120">
        <f>C42/C110</f>
        <v>451.12617815928547</v>
      </c>
      <c r="D120">
        <f t="shared" ref="D120:E120" si="53">D42/D110</f>
        <v>450.49340944206949</v>
      </c>
      <c r="E120">
        <f t="shared" si="53"/>
        <v>447.86495542559106</v>
      </c>
      <c r="F120" s="1">
        <f t="shared" si="42"/>
        <v>449.82818100898203</v>
      </c>
      <c r="G120" s="2">
        <f t="shared" si="43"/>
        <v>1.4120410949714675</v>
      </c>
    </row>
    <row r="121" spans="1:7" x14ac:dyDescent="0.25">
      <c r="A121" s="162"/>
      <c r="B121" s="38" t="s">
        <v>80</v>
      </c>
      <c r="C121">
        <f>C43/C110</f>
        <v>401.85617931384348</v>
      </c>
      <c r="D121">
        <f t="shared" ref="D121:E121" si="54">D43/D110</f>
        <v>402.19594710790221</v>
      </c>
      <c r="E121">
        <f t="shared" si="54"/>
        <v>398.68790811065219</v>
      </c>
      <c r="F121" s="1">
        <f t="shared" si="42"/>
        <v>400.91334484413261</v>
      </c>
      <c r="G121" s="2">
        <f t="shared" si="43"/>
        <v>1.5797229777217172</v>
      </c>
    </row>
    <row r="122" spans="1:7" ht="15.75" thickBot="1" x14ac:dyDescent="0.3">
      <c r="A122" s="163"/>
      <c r="B122" s="39" t="s">
        <v>80</v>
      </c>
      <c r="C122">
        <f>C44/C110</f>
        <v>147.01579215971228</v>
      </c>
      <c r="D122">
        <f t="shared" ref="D122:E122" si="55">D44/D110</f>
        <v>143.69402243535052</v>
      </c>
      <c r="E122">
        <f t="shared" si="55"/>
        <v>156.38585593012655</v>
      </c>
      <c r="F122" s="1">
        <f t="shared" si="42"/>
        <v>149.03189017506313</v>
      </c>
      <c r="G122" s="2">
        <f t="shared" si="43"/>
        <v>5.3739586755889057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505.93367427171563</v>
      </c>
      <c r="D123">
        <f t="shared" ref="D123:E123" si="56">D45/D110</f>
        <v>504.03054205488115</v>
      </c>
      <c r="E123">
        <f t="shared" si="56"/>
        <v>501.60041721548919</v>
      </c>
      <c r="F123" s="1">
        <f t="shared" si="42"/>
        <v>503.85487784736205</v>
      </c>
      <c r="G123" s="2">
        <f t="shared" si="43"/>
        <v>1.7734002394997332</v>
      </c>
    </row>
    <row r="124" spans="1:7" x14ac:dyDescent="0.25">
      <c r="A124" s="162"/>
      <c r="B124" s="38" t="s">
        <v>74</v>
      </c>
      <c r="C124">
        <f>C46/C110</f>
        <v>483.34811237642174</v>
      </c>
      <c r="D124">
        <f t="shared" ref="D124:E124" si="57">D46/D110</f>
        <v>481.7151588721087</v>
      </c>
      <c r="E124">
        <f t="shared" si="57"/>
        <v>478.93377022558832</v>
      </c>
      <c r="F124" s="1">
        <f t="shared" si="42"/>
        <v>481.33234715803957</v>
      </c>
      <c r="G124" s="2">
        <f t="shared" si="43"/>
        <v>1.8223634402386291</v>
      </c>
    </row>
    <row r="125" spans="1:7" x14ac:dyDescent="0.25">
      <c r="A125" s="162"/>
      <c r="B125" s="38" t="s">
        <v>75</v>
      </c>
      <c r="C125">
        <f>C47/C110</f>
        <v>485.12624420414437</v>
      </c>
      <c r="D125">
        <f t="shared" ref="D125:E125" si="58">D47/D110</f>
        <v>483.2479266971846</v>
      </c>
      <c r="E125">
        <f t="shared" si="58"/>
        <v>480.6784239462757</v>
      </c>
      <c r="F125" s="1">
        <f t="shared" si="42"/>
        <v>483.01753161586822</v>
      </c>
      <c r="G125" s="2">
        <f t="shared" si="43"/>
        <v>1.8231086421636744</v>
      </c>
    </row>
    <row r="126" spans="1:7" x14ac:dyDescent="0.25">
      <c r="A126" s="162"/>
      <c r="B126" s="38" t="s">
        <v>76</v>
      </c>
      <c r="C126">
        <f>C48/C110</f>
        <v>486.69848396235454</v>
      </c>
      <c r="D126">
        <f t="shared" ref="D126:E126" si="59">D48/D110</f>
        <v>484.95711631868289</v>
      </c>
      <c r="E126">
        <f t="shared" si="59"/>
        <v>482.17216463922773</v>
      </c>
      <c r="F126" s="1">
        <f t="shared" si="42"/>
        <v>484.60925497342168</v>
      </c>
      <c r="G126" s="2">
        <f t="shared" si="43"/>
        <v>1.8641615256146622</v>
      </c>
    </row>
    <row r="127" spans="1:7" x14ac:dyDescent="0.25">
      <c r="A127" s="162"/>
      <c r="B127" s="38" t="s">
        <v>77</v>
      </c>
      <c r="C127">
        <f>C49/C110</f>
        <v>487.86207999755203</v>
      </c>
      <c r="D127">
        <f t="shared" ref="D127:E127" si="60">D49/D110</f>
        <v>486.20999997357734</v>
      </c>
      <c r="E127">
        <f t="shared" si="60"/>
        <v>483.37119907163839</v>
      </c>
      <c r="F127" s="1">
        <f t="shared" si="42"/>
        <v>485.81442634758923</v>
      </c>
      <c r="G127" s="2">
        <f t="shared" si="43"/>
        <v>1.8546089871572693</v>
      </c>
    </row>
    <row r="128" spans="1:7" x14ac:dyDescent="0.25">
      <c r="A128" s="162"/>
      <c r="B128" s="38" t="s">
        <v>78</v>
      </c>
      <c r="C128">
        <f>C50/C110</f>
        <v>488.89420632632454</v>
      </c>
      <c r="D128">
        <f t="shared" ref="D128:E128" si="61">D50/D110</f>
        <v>487.27747990850162</v>
      </c>
      <c r="E128">
        <f t="shared" si="61"/>
        <v>484.39293257741241</v>
      </c>
      <c r="F128" s="1">
        <f t="shared" si="42"/>
        <v>486.85487293741289</v>
      </c>
      <c r="G128" s="2">
        <f t="shared" si="43"/>
        <v>1.8617758242550708</v>
      </c>
    </row>
    <row r="129" spans="1:7" x14ac:dyDescent="0.25">
      <c r="A129" s="162"/>
      <c r="B129" s="38" t="s">
        <v>79</v>
      </c>
      <c r="C129">
        <f>C51/C110</f>
        <v>491.45130174927442</v>
      </c>
      <c r="D129">
        <f t="shared" ref="D129:E129" si="62">D51/D110</f>
        <v>489.87075518537597</v>
      </c>
      <c r="E129">
        <f t="shared" si="62"/>
        <v>486.92631975546902</v>
      </c>
      <c r="F129" s="1">
        <f t="shared" si="42"/>
        <v>489.4161255633731</v>
      </c>
      <c r="G129" s="2">
        <f t="shared" si="43"/>
        <v>1.8750789460655775</v>
      </c>
    </row>
    <row r="130" spans="1:7" x14ac:dyDescent="0.25">
      <c r="A130" s="162"/>
      <c r="B130" s="38" t="s">
        <v>82</v>
      </c>
      <c r="C130">
        <f>C52/C110</f>
        <v>469.46759072719692</v>
      </c>
      <c r="D130">
        <f t="shared" ref="D130:E130" si="63">D52/D110</f>
        <v>468.14581764670123</v>
      </c>
      <c r="E130">
        <f t="shared" si="63"/>
        <v>465.16220999454276</v>
      </c>
      <c r="F130" s="1">
        <f t="shared" si="42"/>
        <v>467.59187278948031</v>
      </c>
      <c r="G130" s="2">
        <f t="shared" si="43"/>
        <v>1.8007807551001402</v>
      </c>
    </row>
    <row r="131" spans="1:7" x14ac:dyDescent="0.25">
      <c r="A131" s="162"/>
      <c r="B131" s="38" t="s">
        <v>83</v>
      </c>
      <c r="C131">
        <f>C53/C110</f>
        <v>450.37305261571407</v>
      </c>
      <c r="D131">
        <f t="shared" ref="D131:E131" si="64">D53/D110</f>
        <v>449.26389123969318</v>
      </c>
      <c r="E131">
        <f t="shared" si="64"/>
        <v>446.8974404659923</v>
      </c>
      <c r="F131" s="1">
        <f t="shared" si="42"/>
        <v>448.84479477379983</v>
      </c>
      <c r="G131" s="2">
        <f t="shared" si="43"/>
        <v>1.4495289670824341</v>
      </c>
    </row>
    <row r="132" spans="1:7" x14ac:dyDescent="0.25">
      <c r="A132" s="162"/>
      <c r="B132" s="38" t="s">
        <v>84</v>
      </c>
      <c r="C132">
        <f>C54/C110</f>
        <v>418.54270244773176</v>
      </c>
      <c r="D132">
        <f t="shared" ref="D132:E132" si="65">D54/D110</f>
        <v>415.3847174701001</v>
      </c>
      <c r="E132">
        <f t="shared" si="65"/>
        <v>416.28708295857547</v>
      </c>
      <c r="F132" s="1">
        <f t="shared" si="42"/>
        <v>416.73816762546909</v>
      </c>
      <c r="G132" s="2">
        <f t="shared" si="43"/>
        <v>1.3281127743949843</v>
      </c>
    </row>
    <row r="133" spans="1:7" x14ac:dyDescent="0.25">
      <c r="A133" s="162"/>
      <c r="B133" s="38" t="s">
        <v>85</v>
      </c>
      <c r="C133">
        <f>C55/C110</f>
        <v>146.61789420932575</v>
      </c>
      <c r="D133">
        <f t="shared" ref="D133:E133" si="66">D55/D110</f>
        <v>142.71969929918839</v>
      </c>
      <c r="E133">
        <f t="shared" si="66"/>
        <v>155.70178297703799</v>
      </c>
      <c r="F133" s="1">
        <f t="shared" si="42"/>
        <v>148.34645882851737</v>
      </c>
      <c r="G133" s="2">
        <f t="shared" si="43"/>
        <v>5.4390302987887509</v>
      </c>
    </row>
    <row r="134" spans="1:7" ht="15.75" thickBot="1" x14ac:dyDescent="0.3">
      <c r="A134" s="163"/>
      <c r="B134" s="39" t="s">
        <v>86</v>
      </c>
      <c r="C134">
        <f>C56/C110</f>
        <v>32.96643407934021</v>
      </c>
      <c r="D134">
        <f t="shared" ref="D134:E134" si="67">D56/D110</f>
        <v>31.548192477234835</v>
      </c>
      <c r="E134">
        <f t="shared" si="67"/>
        <v>40.485691999233673</v>
      </c>
      <c r="F134" s="1">
        <f t="shared" si="42"/>
        <v>35.000106185269573</v>
      </c>
      <c r="G134" s="2">
        <f t="shared" si="43"/>
        <v>3.9218695458721071</v>
      </c>
    </row>
    <row r="135" spans="1:7" ht="15.75" thickTop="1" x14ac:dyDescent="0.25"/>
    <row r="137" spans="1:7" ht="14.45" customHeight="1" x14ac:dyDescent="0.25">
      <c r="A137" s="171" t="s">
        <v>98</v>
      </c>
      <c r="B137" s="67" t="s">
        <v>99</v>
      </c>
      <c r="C137" s="68" t="str">
        <f>C1</f>
        <v>DD007</v>
      </c>
      <c r="D137" s="68" t="str">
        <f>D1</f>
        <v>DD008</v>
      </c>
      <c r="E137" s="68" t="str">
        <f>E1</f>
        <v>DD009</v>
      </c>
    </row>
    <row r="138" spans="1:7" ht="14.45" customHeight="1" x14ac:dyDescent="0.25">
      <c r="A138" s="172"/>
      <c r="B138" s="69" t="s">
        <v>100</v>
      </c>
      <c r="C138" s="68">
        <f>C25</f>
        <v>2.9152127999999999E-2</v>
      </c>
      <c r="D138" s="68">
        <f t="shared" ref="D138:E138" si="68">D25</f>
        <v>2.9097312000000004E-2</v>
      </c>
      <c r="E138" s="68">
        <f t="shared" si="68"/>
        <v>2.8930368000000005E-2</v>
      </c>
      <c r="F138" s="1">
        <f>AVERAGE(C138:E138)</f>
        <v>2.9059935999999998E-2</v>
      </c>
      <c r="G138" s="2">
        <f>_xlfn.STDEV.P(C138:E138)</f>
        <v>9.4311888370446852E-5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56</v>
      </c>
      <c r="D142" s="68">
        <f t="shared" ref="D142:E142" si="69">D21</f>
        <v>56</v>
      </c>
      <c r="E142" s="68">
        <f t="shared" si="69"/>
        <v>56</v>
      </c>
      <c r="F142" s="1">
        <f>AVERAGE(C142:E142)</f>
        <v>56</v>
      </c>
      <c r="G142" s="2">
        <f>_xlfn.STDEV.P(C142:E142)</f>
        <v>0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 t="shared" ref="D143:E143" si="70">D16</f>
        <v>1.7194640000000001</v>
      </c>
      <c r="E143" s="68">
        <f t="shared" si="70"/>
        <v>1.7194640000000001</v>
      </c>
      <c r="F143" s="1">
        <f>AVERAGE(C143:E143)</f>
        <v>1.7194640000000001</v>
      </c>
      <c r="G143" s="2">
        <f>_xlfn.STDEV.P(C143:E143)</f>
        <v>0</v>
      </c>
    </row>
    <row r="144" spans="1:7" ht="14.45" customHeight="1" x14ac:dyDescent="0.25">
      <c r="A144" s="172"/>
      <c r="B144" s="69" t="s">
        <v>106</v>
      </c>
      <c r="C144" s="68">
        <f>C22</f>
        <v>176.60619821060516</v>
      </c>
      <c r="D144" s="68">
        <f t="shared" ref="D144:E144" si="71">D22</f>
        <v>176.27411798095221</v>
      </c>
      <c r="E144" s="68">
        <f t="shared" si="71"/>
        <v>175.26275630080073</v>
      </c>
      <c r="F144" s="1">
        <f>AVERAGE(C144:E144)</f>
        <v>176.04769083078602</v>
      </c>
      <c r="G144" s="2">
        <f>_xlfn.STDEV.P(C144:E144)</f>
        <v>0.57134985312796671</v>
      </c>
    </row>
    <row r="145" spans="1:7" ht="14.45" customHeight="1" x14ac:dyDescent="0.25">
      <c r="A145" s="172"/>
      <c r="B145" s="69" t="s">
        <v>107</v>
      </c>
      <c r="C145" s="68">
        <f>C24</f>
        <v>29.257915861290652</v>
      </c>
      <c r="D145" s="68">
        <f t="shared" ref="D145:E145" si="72">D24</f>
        <v>29.390935244443295</v>
      </c>
      <c r="E145" s="68">
        <f t="shared" si="72"/>
        <v>29.796050318528199</v>
      </c>
      <c r="F145" s="1">
        <f>AVERAGE(C145:E145)</f>
        <v>29.481633808087381</v>
      </c>
      <c r="G145" s="2">
        <f>_xlfn.STDEV.P(C145:E145)</f>
        <v>0.22886217919949503</v>
      </c>
    </row>
    <row r="146" spans="1:7" ht="14.45" customHeight="1" thickBot="1" x14ac:dyDescent="0.3">
      <c r="A146" s="173"/>
      <c r="B146" s="70" t="s">
        <v>108</v>
      </c>
      <c r="C146" s="68">
        <v>85</v>
      </c>
      <c r="D146" s="68">
        <v>85</v>
      </c>
      <c r="E146" s="68">
        <v>85</v>
      </c>
      <c r="F146" s="1">
        <f>AVERAGE(C146:E146)</f>
        <v>85</v>
      </c>
      <c r="G146" s="2">
        <f>_xlfn.STDEV.P(C146:E146)</f>
        <v>0</v>
      </c>
    </row>
    <row r="148" spans="1:7" ht="15.75" thickBot="1" x14ac:dyDescent="0.3">
      <c r="F148" s="1" t="e">
        <f>AVERAGE(C148:E148)</f>
        <v>#DIV/0!</v>
      </c>
      <c r="G148" s="2" t="e">
        <f>_xlfn.STDEV.P(C148:E148)</f>
        <v>#DIV/0!</v>
      </c>
    </row>
    <row r="149" spans="1:7" x14ac:dyDescent="0.25">
      <c r="A149" s="168" t="s">
        <v>109</v>
      </c>
      <c r="B149" s="94" t="s">
        <v>110</v>
      </c>
      <c r="C149" s="93">
        <v>4.8883314063594199</v>
      </c>
      <c r="D149" s="93">
        <v>4.8739888433418104</v>
      </c>
      <c r="E149" s="93">
        <v>4.8435296437037403</v>
      </c>
      <c r="F149" s="1">
        <f>AVERAGE(C149:E149)</f>
        <v>4.8686166311349899</v>
      </c>
      <c r="G149" s="2">
        <f>_xlfn.STDEV.P(C149:E149)</f>
        <v>1.8680559989113325E-2</v>
      </c>
    </row>
    <row r="150" spans="1:7" x14ac:dyDescent="0.25">
      <c r="A150" s="169"/>
      <c r="B150" s="95" t="s">
        <v>111</v>
      </c>
      <c r="C150" s="93">
        <v>4.5382414132883797</v>
      </c>
      <c r="D150" s="93">
        <v>4.5286171915156297</v>
      </c>
      <c r="E150" s="93">
        <v>4.4935104263824899</v>
      </c>
      <c r="F150" s="1">
        <f>AVERAGE(C150:E150)</f>
        <v>4.5201230103955004</v>
      </c>
      <c r="G150" s="2">
        <f>_xlfn.STDEV.P(C150:E150)</f>
        <v>1.922374628889837E-2</v>
      </c>
    </row>
    <row r="151" spans="1:7" x14ac:dyDescent="0.25">
      <c r="A151" s="169"/>
      <c r="B151" s="95" t="s">
        <v>112</v>
      </c>
      <c r="C151" s="93">
        <v>3.9487985752301702</v>
      </c>
      <c r="D151" s="93">
        <v>4.4375422291019104</v>
      </c>
      <c r="E151" s="93">
        <v>4.3371578177950099</v>
      </c>
      <c r="F151" s="1">
        <f>AVERAGE(C151:E151)</f>
        <v>4.2411662073756968</v>
      </c>
      <c r="G151" s="2">
        <f>_xlfn.STDEV.P(C151:E151)</f>
        <v>0.21075796822128257</v>
      </c>
    </row>
    <row r="152" spans="1:7" ht="15.75" thickBot="1" x14ac:dyDescent="0.3">
      <c r="A152" s="170"/>
      <c r="B152" s="96" t="s">
        <v>113</v>
      </c>
      <c r="C152" s="104">
        <v>4.5823736806423403</v>
      </c>
      <c r="D152" s="93">
        <v>4.7632433380773804</v>
      </c>
      <c r="E152" s="93">
        <v>4.71148676748986</v>
      </c>
    </row>
    <row r="153" spans="1:7" x14ac:dyDescent="0.25">
      <c r="F153" s="1" t="e">
        <f>AVERAGE(C153:E153)</f>
        <v>#DIV/0!</v>
      </c>
      <c r="G153" s="2" t="e">
        <f>_xlfn.STDEV.P(C153:E153)</f>
        <v>#DIV/0!</v>
      </c>
    </row>
  </sheetData>
  <mergeCells count="11">
    <mergeCell ref="A149:A152"/>
    <mergeCell ref="A137:A146"/>
    <mergeCell ref="A93:A104"/>
    <mergeCell ref="A111:A122"/>
    <mergeCell ref="A123:A134"/>
    <mergeCell ref="A81:A92"/>
    <mergeCell ref="A1:A30"/>
    <mergeCell ref="A33:A44"/>
    <mergeCell ref="A45:A56"/>
    <mergeCell ref="A57:A67"/>
    <mergeCell ref="A68:A7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1"/>
  <sheetViews>
    <sheetView zoomScale="90" zoomScaleNormal="90" workbookViewId="0">
      <pane ySplit="1" topLeftCell="A142" activePane="bottomLeft" state="frozen"/>
      <selection pane="bottomLeft" activeCell="A153" sqref="A153:XFD153"/>
    </sheetView>
  </sheetViews>
  <sheetFormatPr defaultRowHeight="15" x14ac:dyDescent="0.25"/>
  <cols>
    <col min="1" max="1" width="14.28515625" customWidth="1"/>
    <col min="2" max="2" width="43.140625" style="27" customWidth="1"/>
    <col min="3" max="5" width="20.42578125" bestFit="1" customWidth="1"/>
    <col min="6" max="6" width="13.28515625" style="1" bestFit="1" customWidth="1"/>
    <col min="7" max="7" width="17.5703125" style="2" bestFit="1" customWidth="1"/>
  </cols>
  <sheetData>
    <row r="1" spans="1:7" x14ac:dyDescent="0.25">
      <c r="A1" s="164" t="s">
        <v>24</v>
      </c>
      <c r="B1" s="16" t="s">
        <v>25</v>
      </c>
      <c r="C1" t="s">
        <v>208</v>
      </c>
      <c r="D1" t="s">
        <v>209</v>
      </c>
      <c r="E1" t="s">
        <v>210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0.95</v>
      </c>
      <c r="D5" s="8">
        <v>0.8</v>
      </c>
      <c r="E5" s="8">
        <v>0.8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s="8" t="s">
        <v>211</v>
      </c>
      <c r="D8" s="8" t="s">
        <v>212</v>
      </c>
      <c r="E8" s="8" t="s">
        <v>213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3.7450200000000003E-2</v>
      </c>
      <c r="D12" s="8">
        <v>3.7458499999999999E-2</v>
      </c>
      <c r="E12" s="8">
        <v>3.7493600000000002E-2</v>
      </c>
      <c r="F12" s="1">
        <f>AVERAGE(C12:E12)</f>
        <v>3.7467433333333335E-2</v>
      </c>
      <c r="G12" s="2">
        <f>_xlfn.STDEV.P(C12:E12)</f>
        <v>1.8810339946127937E-5</v>
      </c>
    </row>
    <row r="13" spans="1:7" x14ac:dyDescent="0.25">
      <c r="A13" s="164"/>
      <c r="B13" s="21" t="s">
        <v>49</v>
      </c>
      <c r="C13" s="8">
        <v>82</v>
      </c>
      <c r="D13" s="8">
        <v>82</v>
      </c>
      <c r="E13" s="8">
        <v>82</v>
      </c>
      <c r="F13" s="1">
        <f t="shared" ref="F13:F76" si="0">AVERAGE(C13:E13)</f>
        <v>82</v>
      </c>
      <c r="G13" s="2">
        <f t="shared" ref="G13:G76" si="1">_xlfn.STDEV.P(C13:E13)</f>
        <v>0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3.1880200000000004E-2</v>
      </c>
      <c r="D18" s="11">
        <f>D12-D14</f>
        <v>3.18885E-2</v>
      </c>
      <c r="E18" s="11">
        <f>E12-E14</f>
        <v>3.1923600000000003E-2</v>
      </c>
      <c r="F18" s="1">
        <f t="shared" si="0"/>
        <v>3.1897433333333336E-2</v>
      </c>
      <c r="G18" s="2">
        <f t="shared" si="1"/>
        <v>1.8810339946127937E-5</v>
      </c>
    </row>
    <row r="19" spans="1:7" x14ac:dyDescent="0.25">
      <c r="A19" s="164"/>
      <c r="B19" s="23" t="s">
        <v>55</v>
      </c>
      <c r="C19" s="12">
        <f>C18*C10/100*C11</f>
        <v>5.0498236800000011</v>
      </c>
      <c r="D19" s="12">
        <f>D18*D10/100*D11</f>
        <v>5.0511384000000001</v>
      </c>
      <c r="E19" s="12">
        <f>E18*E10/100*E11</f>
        <v>5.0566982400000011</v>
      </c>
      <c r="F19" s="1">
        <f t="shared" si="0"/>
        <v>5.0525534400000014</v>
      </c>
      <c r="G19" s="2">
        <f t="shared" si="1"/>
        <v>2.9795578474667811E-3</v>
      </c>
    </row>
    <row r="20" spans="1:7" x14ac:dyDescent="0.25">
      <c r="A20" s="164"/>
      <c r="B20" s="23" t="s">
        <v>56</v>
      </c>
      <c r="C20" s="12">
        <f>C19/C16</f>
        <v>2.9368592072878528</v>
      </c>
      <c r="D20" s="12">
        <f>D19/D16</f>
        <v>2.9376238176548042</v>
      </c>
      <c r="E20" s="12">
        <f>E19/E16</f>
        <v>2.9408572904114312</v>
      </c>
      <c r="F20" s="1">
        <f t="shared" si="0"/>
        <v>2.938446771784696</v>
      </c>
      <c r="G20" s="2">
        <f t="shared" si="1"/>
        <v>1.7328410757462592E-3</v>
      </c>
    </row>
    <row r="21" spans="1:7" x14ac:dyDescent="0.25">
      <c r="A21" s="164"/>
      <c r="B21" s="22" t="s">
        <v>57</v>
      </c>
      <c r="C21" s="13">
        <f>C13-C15</f>
        <v>69</v>
      </c>
      <c r="D21" s="13">
        <f>D13-D15</f>
        <v>69</v>
      </c>
      <c r="E21" s="13">
        <f>E13-E15</f>
        <v>69</v>
      </c>
      <c r="F21" s="1">
        <f t="shared" si="0"/>
        <v>69</v>
      </c>
      <c r="G21" s="2">
        <f t="shared" si="1"/>
        <v>0</v>
      </c>
    </row>
    <row r="22" spans="1:7" x14ac:dyDescent="0.25">
      <c r="A22" s="164"/>
      <c r="B22" s="22" t="s">
        <v>58</v>
      </c>
      <c r="C22" s="13">
        <f>C18/(C16/10^4)</f>
        <v>185.40777823786951</v>
      </c>
      <c r="D22" s="13">
        <f>D18/(D16/10^4)</f>
        <v>185.45604909436895</v>
      </c>
      <c r="E22" s="13">
        <f>E18/(E16/10^4)</f>
        <v>185.66018247546913</v>
      </c>
      <c r="F22" s="1">
        <f t="shared" si="0"/>
        <v>185.50800326923584</v>
      </c>
      <c r="G22" s="2">
        <f t="shared" si="1"/>
        <v>0.10939653255972856</v>
      </c>
    </row>
    <row r="23" spans="1:7" x14ac:dyDescent="0.25">
      <c r="A23" s="164"/>
      <c r="B23" s="22" t="s">
        <v>59</v>
      </c>
      <c r="C23" s="13">
        <f>C18/C16/(C21/10^4)</f>
        <v>2.6870692498241957</v>
      </c>
      <c r="D23" s="13">
        <f>D18/D16/(D21/10^4)</f>
        <v>2.6877688274546223</v>
      </c>
      <c r="E23" s="13">
        <f>E18/E16/(E21/10^4)</f>
        <v>2.6907272822531754</v>
      </c>
      <c r="F23" s="1">
        <f t="shared" si="0"/>
        <v>2.6885217865106648</v>
      </c>
      <c r="G23" s="2">
        <f t="shared" si="1"/>
        <v>1.5854569936191115E-3</v>
      </c>
    </row>
    <row r="24" spans="1:7" x14ac:dyDescent="0.25">
      <c r="A24" s="164"/>
      <c r="B24" s="22" t="s">
        <v>60</v>
      </c>
      <c r="C24" s="13">
        <f>(1-C23/C17)*100</f>
        <v>39.724781296002789</v>
      </c>
      <c r="D24" s="13">
        <f>(1-D23/D17)*100</f>
        <v>39.709088661852356</v>
      </c>
      <c r="E24" s="13">
        <f>(1-E23/E17)*100</f>
        <v>39.642725835505267</v>
      </c>
      <c r="F24" s="1">
        <f t="shared" si="0"/>
        <v>39.692198597786806</v>
      </c>
      <c r="G24" s="2">
        <f t="shared" si="1"/>
        <v>3.5564311207247332E-2</v>
      </c>
    </row>
    <row r="25" spans="1:7" x14ac:dyDescent="0.25">
      <c r="A25" s="164"/>
      <c r="B25" s="24" t="s">
        <v>61</v>
      </c>
      <c r="C25" s="14">
        <f>(C18*C10)/100</f>
        <v>3.0604992000000008E-2</v>
      </c>
      <c r="D25" s="14">
        <f>(D18*D10)/100</f>
        <v>3.0612960000000002E-2</v>
      </c>
      <c r="E25" s="14">
        <f>(E18*E10)/100</f>
        <v>3.0646656000000005E-2</v>
      </c>
      <c r="F25" s="1">
        <f t="shared" si="0"/>
        <v>3.0621536000000005E-2</v>
      </c>
      <c r="G25" s="2">
        <f t="shared" si="1"/>
        <v>1.8057926348282163E-5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122</v>
      </c>
      <c r="D28" t="s">
        <v>122</v>
      </c>
      <c r="E28" t="s">
        <v>122</v>
      </c>
    </row>
    <row r="29" spans="1:7" x14ac:dyDescent="0.25">
      <c r="A29" s="164"/>
      <c r="B29" s="18" t="s">
        <v>67</v>
      </c>
      <c r="C29" t="s">
        <v>214</v>
      </c>
      <c r="D29" t="s">
        <v>163</v>
      </c>
      <c r="E29" t="s">
        <v>177</v>
      </c>
    </row>
    <row r="30" spans="1:7" x14ac:dyDescent="0.25">
      <c r="A30" s="164"/>
      <c r="B30" s="25" t="s">
        <v>71</v>
      </c>
      <c r="C30">
        <v>3.3039999999999998</v>
      </c>
      <c r="D30">
        <v>3.28</v>
      </c>
      <c r="E30">
        <v>3.31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5.5907996400000002</v>
      </c>
      <c r="D33" s="76">
        <v>5.5866001599999997</v>
      </c>
      <c r="E33" s="118">
        <v>5.5404301499999997</v>
      </c>
      <c r="F33" s="1">
        <f t="shared" si="0"/>
        <v>5.5726099833333329</v>
      </c>
      <c r="G33" s="2">
        <f t="shared" si="1"/>
        <v>2.2819073353789538E-2</v>
      </c>
    </row>
    <row r="34" spans="1:7" x14ac:dyDescent="0.25">
      <c r="A34" s="166"/>
      <c r="B34" s="29" t="s">
        <v>74</v>
      </c>
      <c r="C34" s="78">
        <v>5.0854407200000002</v>
      </c>
      <c r="D34" s="79">
        <v>5.0875564500000001</v>
      </c>
      <c r="E34" s="114">
        <v>5.11781168</v>
      </c>
      <c r="F34" s="1">
        <f t="shared" si="0"/>
        <v>5.096936283333334</v>
      </c>
      <c r="G34" s="2">
        <f t="shared" si="1"/>
        <v>1.4786383778130222E-2</v>
      </c>
    </row>
    <row r="35" spans="1:7" x14ac:dyDescent="0.25">
      <c r="A35" s="166"/>
      <c r="B35" s="29" t="s">
        <v>75</v>
      </c>
      <c r="C35" s="78">
        <v>4.8412514099999999</v>
      </c>
      <c r="D35" s="79">
        <v>4.8382074599999996</v>
      </c>
      <c r="E35" s="114">
        <v>4.87357774</v>
      </c>
      <c r="F35" s="1">
        <f t="shared" si="0"/>
        <v>4.8510122033333332</v>
      </c>
      <c r="G35" s="2">
        <f t="shared" si="1"/>
        <v>1.6004561676631224E-2</v>
      </c>
    </row>
    <row r="36" spans="1:7" x14ac:dyDescent="0.25">
      <c r="A36" s="166"/>
      <c r="B36" s="29" t="s">
        <v>76</v>
      </c>
      <c r="C36" s="78">
        <v>4.8682789299999998</v>
      </c>
      <c r="D36" s="79">
        <v>4.8639631300000001</v>
      </c>
      <c r="E36" s="114">
        <v>4.8992763200000002</v>
      </c>
      <c r="F36" s="1">
        <f t="shared" si="0"/>
        <v>4.877172793333334</v>
      </c>
      <c r="G36" s="2">
        <f t="shared" si="1"/>
        <v>1.5728550489222642E-2</v>
      </c>
    </row>
    <row r="37" spans="1:7" x14ac:dyDescent="0.25">
      <c r="A37" s="166"/>
      <c r="B37" s="29" t="s">
        <v>77</v>
      </c>
      <c r="C37" s="78">
        <v>4.88714739</v>
      </c>
      <c r="D37" s="79">
        <v>4.8800106000000003</v>
      </c>
      <c r="E37" s="114">
        <v>4.9164424699999998</v>
      </c>
      <c r="F37" s="1">
        <f t="shared" si="0"/>
        <v>4.894533486666667</v>
      </c>
      <c r="G37" s="2">
        <f t="shared" si="1"/>
        <v>1.5763588971661337E-2</v>
      </c>
    </row>
    <row r="38" spans="1:7" x14ac:dyDescent="0.25">
      <c r="A38" s="166"/>
      <c r="B38" s="29" t="s">
        <v>78</v>
      </c>
      <c r="C38" s="78">
        <v>4.9041249999999996</v>
      </c>
      <c r="D38" s="79">
        <v>4.8955021900000002</v>
      </c>
      <c r="E38" s="114">
        <v>4.9326380900000002</v>
      </c>
      <c r="F38" s="1">
        <f t="shared" si="0"/>
        <v>4.910755093333333</v>
      </c>
      <c r="G38" s="2">
        <f t="shared" si="1"/>
        <v>1.586899220511576E-2</v>
      </c>
    </row>
    <row r="39" spans="1:7" x14ac:dyDescent="0.25">
      <c r="A39" s="166"/>
      <c r="B39" s="29" t="s">
        <v>79</v>
      </c>
      <c r="C39" s="78">
        <v>4.9424697799999997</v>
      </c>
      <c r="D39" s="79">
        <v>4.93239831</v>
      </c>
      <c r="E39" s="114">
        <v>4.9690901700000003</v>
      </c>
      <c r="F39" s="1">
        <f t="shared" si="0"/>
        <v>4.9479860866666669</v>
      </c>
      <c r="G39" s="2">
        <f t="shared" si="1"/>
        <v>1.5478918502174544E-2</v>
      </c>
    </row>
    <row r="40" spans="1:7" x14ac:dyDescent="0.25">
      <c r="A40" s="166"/>
      <c r="B40" s="29" t="s">
        <v>80</v>
      </c>
      <c r="C40" s="78">
        <v>4.9328731399999999</v>
      </c>
      <c r="D40" s="79">
        <v>4.9211606699999999</v>
      </c>
      <c r="E40" s="114">
        <v>4.9596025800000003</v>
      </c>
      <c r="F40" s="1">
        <f t="shared" si="0"/>
        <v>4.9378787966666673</v>
      </c>
      <c r="G40" s="2">
        <f t="shared" si="1"/>
        <v>1.6088040280706296E-2</v>
      </c>
    </row>
    <row r="41" spans="1:7" x14ac:dyDescent="0.25">
      <c r="A41" s="166"/>
      <c r="B41" s="29" t="s">
        <v>80</v>
      </c>
      <c r="C41" s="78">
        <v>4.7178121800000001</v>
      </c>
      <c r="D41" s="79">
        <v>4.7119467400000001</v>
      </c>
      <c r="E41" s="114">
        <v>4.7544523500000002</v>
      </c>
      <c r="F41" s="1">
        <f t="shared" si="0"/>
        <v>4.7280704233333344</v>
      </c>
      <c r="G41" s="2">
        <f t="shared" si="1"/>
        <v>1.8807895285091233E-2</v>
      </c>
    </row>
    <row r="42" spans="1:7" x14ac:dyDescent="0.25">
      <c r="A42" s="166"/>
      <c r="B42" s="29" t="s">
        <v>80</v>
      </c>
      <c r="C42" s="78">
        <v>4.4347442399999997</v>
      </c>
      <c r="D42" s="79">
        <v>4.4539793100000002</v>
      </c>
      <c r="E42" s="114">
        <v>4.5252957800000004</v>
      </c>
      <c r="F42" s="1">
        <f t="shared" si="0"/>
        <v>4.4713397766666665</v>
      </c>
      <c r="G42" s="2">
        <f t="shared" si="1"/>
        <v>3.8952404301114837E-2</v>
      </c>
    </row>
    <row r="43" spans="1:7" x14ac:dyDescent="0.25">
      <c r="A43" s="166"/>
      <c r="B43" s="29" t="s">
        <v>80</v>
      </c>
      <c r="C43" s="78">
        <v>4.0376315099999998</v>
      </c>
      <c r="D43" s="79">
        <v>4.0419150500000001</v>
      </c>
      <c r="E43" s="114">
        <v>4.0577463700000003</v>
      </c>
      <c r="F43" s="1">
        <f t="shared" si="0"/>
        <v>4.04576431</v>
      </c>
      <c r="G43" s="2">
        <f t="shared" si="1"/>
        <v>8.6511848943985684E-3</v>
      </c>
    </row>
    <row r="44" spans="1:7" ht="15.75" thickBot="1" x14ac:dyDescent="0.3">
      <c r="A44" s="167"/>
      <c r="B44" s="30" t="s">
        <v>80</v>
      </c>
      <c r="C44" s="81">
        <v>1.59368858</v>
      </c>
      <c r="D44" s="82">
        <v>0.64415467000000004</v>
      </c>
      <c r="E44" s="115">
        <v>1.9611871700000001</v>
      </c>
      <c r="F44" s="1">
        <f t="shared" si="0"/>
        <v>1.3996768066666665</v>
      </c>
      <c r="G44" s="2">
        <f t="shared" si="1"/>
        <v>0.5549018397626867</v>
      </c>
    </row>
    <row r="45" spans="1:7" ht="15.75" thickTop="1" x14ac:dyDescent="0.25">
      <c r="A45" s="165" t="s">
        <v>81</v>
      </c>
      <c r="B45" s="28" t="s">
        <v>73</v>
      </c>
      <c r="C45" s="78">
        <v>5.0592179399999999</v>
      </c>
      <c r="D45" s="79">
        <v>5.0719773699999999</v>
      </c>
      <c r="E45" s="114">
        <v>5.0617928000000001</v>
      </c>
      <c r="F45" s="1">
        <f t="shared" si="0"/>
        <v>5.0643293699999994</v>
      </c>
      <c r="G45" s="2">
        <f t="shared" si="1"/>
        <v>5.509168358587932E-3</v>
      </c>
    </row>
    <row r="46" spans="1:7" x14ac:dyDescent="0.25">
      <c r="A46" s="166"/>
      <c r="B46" s="29" t="s">
        <v>74</v>
      </c>
      <c r="C46" s="78">
        <v>4.8292604499999996</v>
      </c>
      <c r="D46" s="79">
        <v>4.8289250800000003</v>
      </c>
      <c r="E46" s="114">
        <v>4.8629293499999999</v>
      </c>
      <c r="F46" s="1">
        <f t="shared" si="0"/>
        <v>4.8403716266666672</v>
      </c>
      <c r="G46" s="2">
        <f t="shared" si="1"/>
        <v>1.5951306733235214E-2</v>
      </c>
    </row>
    <row r="47" spans="1:7" x14ac:dyDescent="0.25">
      <c r="A47" s="166"/>
      <c r="B47" s="29" t="s">
        <v>75</v>
      </c>
      <c r="C47" s="78">
        <v>4.8561583600000002</v>
      </c>
      <c r="D47" s="79">
        <v>4.8543262900000004</v>
      </c>
      <c r="E47" s="114">
        <v>4.8907788099999996</v>
      </c>
      <c r="F47" s="1">
        <f t="shared" si="0"/>
        <v>4.867087820000001</v>
      </c>
      <c r="G47" s="2">
        <f t="shared" si="1"/>
        <v>1.6768748224127782E-2</v>
      </c>
    </row>
    <row r="48" spans="1:7" x14ac:dyDescent="0.25">
      <c r="A48" s="166"/>
      <c r="B48" s="29" t="s">
        <v>76</v>
      </c>
      <c r="C48" s="78">
        <v>4.8754546200000002</v>
      </c>
      <c r="D48" s="79">
        <v>4.8709596199999998</v>
      </c>
      <c r="E48" s="114">
        <v>4.9090526600000004</v>
      </c>
      <c r="F48" s="1">
        <f t="shared" si="0"/>
        <v>4.8851556333333335</v>
      </c>
      <c r="G48" s="2">
        <f t="shared" si="1"/>
        <v>1.6997101103434151E-2</v>
      </c>
    </row>
    <row r="49" spans="1:7" x14ac:dyDescent="0.25">
      <c r="A49" s="166"/>
      <c r="B49" s="29" t="s">
        <v>77</v>
      </c>
      <c r="C49" s="78">
        <v>4.8928161299999999</v>
      </c>
      <c r="D49" s="79">
        <v>4.8868020100000003</v>
      </c>
      <c r="E49" s="114">
        <v>4.9260586000000002</v>
      </c>
      <c r="F49" s="1">
        <f t="shared" si="0"/>
        <v>4.9018922466666668</v>
      </c>
      <c r="G49" s="2">
        <f t="shared" si="1"/>
        <v>1.7263678343412883E-2</v>
      </c>
    </row>
    <row r="50" spans="1:7" x14ac:dyDescent="0.25">
      <c r="A50" s="166"/>
      <c r="B50" s="29" t="s">
        <v>78</v>
      </c>
      <c r="C50" s="78">
        <v>4.9080681200000003</v>
      </c>
      <c r="D50" s="79">
        <v>4.9001614800000004</v>
      </c>
      <c r="E50" s="114">
        <v>4.9411279400000003</v>
      </c>
      <c r="F50" s="1">
        <f t="shared" si="0"/>
        <v>4.9164525133333337</v>
      </c>
      <c r="G50" s="2">
        <f t="shared" si="1"/>
        <v>1.7744224410756546E-2</v>
      </c>
    </row>
    <row r="51" spans="1:7" x14ac:dyDescent="0.25">
      <c r="A51" s="166"/>
      <c r="B51" s="29" t="s">
        <v>79</v>
      </c>
      <c r="C51" s="78">
        <v>4.9438192599999997</v>
      </c>
      <c r="D51" s="79">
        <v>4.9341260199999999</v>
      </c>
      <c r="E51" s="114">
        <v>4.9734515200000002</v>
      </c>
      <c r="F51" s="1">
        <f t="shared" si="0"/>
        <v>4.9504656000000002</v>
      </c>
      <c r="G51" s="2">
        <f t="shared" si="1"/>
        <v>1.6728301649384675E-2</v>
      </c>
    </row>
    <row r="52" spans="1:7" x14ac:dyDescent="0.25">
      <c r="A52" s="166"/>
      <c r="B52" s="29" t="s">
        <v>82</v>
      </c>
      <c r="C52" s="78">
        <v>4.7060179800000004</v>
      </c>
      <c r="D52" s="79">
        <v>4.7062570900000003</v>
      </c>
      <c r="E52" s="114">
        <v>4.7546313199999997</v>
      </c>
      <c r="F52" s="1">
        <f t="shared" si="0"/>
        <v>4.7223021300000001</v>
      </c>
      <c r="G52" s="2">
        <f t="shared" si="1"/>
        <v>2.2860397895925887E-2</v>
      </c>
    </row>
    <row r="53" spans="1:7" x14ac:dyDescent="0.25">
      <c r="A53" s="166"/>
      <c r="B53" s="29" t="s">
        <v>83</v>
      </c>
      <c r="C53" s="78">
        <v>4.42598965</v>
      </c>
      <c r="D53" s="79">
        <v>4.4486891000000002</v>
      </c>
      <c r="E53" s="114">
        <v>4.5233135300000002</v>
      </c>
      <c r="F53" s="1">
        <f t="shared" si="0"/>
        <v>4.4659974266666671</v>
      </c>
      <c r="G53" s="2">
        <f t="shared" si="1"/>
        <v>4.157457583318315E-2</v>
      </c>
    </row>
    <row r="54" spans="1:7" x14ac:dyDescent="0.25">
      <c r="A54" s="166"/>
      <c r="B54" s="29" t="s">
        <v>84</v>
      </c>
      <c r="C54" s="78">
        <v>3.8808450900000002</v>
      </c>
      <c r="D54" s="79">
        <v>3.83341501</v>
      </c>
      <c r="E54" s="114">
        <v>4.10132108</v>
      </c>
      <c r="F54" s="1">
        <f t="shared" si="0"/>
        <v>3.9385270600000002</v>
      </c>
      <c r="G54" s="2">
        <f t="shared" si="1"/>
        <v>0.11672995283422868</v>
      </c>
    </row>
    <row r="55" spans="1:7" x14ac:dyDescent="0.25">
      <c r="A55" s="166"/>
      <c r="B55" s="29" t="s">
        <v>85</v>
      </c>
      <c r="C55" s="78">
        <v>1.5887946799999999</v>
      </c>
      <c r="D55" s="79">
        <v>0.64077634000000006</v>
      </c>
      <c r="E55" s="114">
        <v>1.9608722000000001</v>
      </c>
      <c r="F55" s="1">
        <f t="shared" si="0"/>
        <v>1.3968144066666666</v>
      </c>
      <c r="G55" s="2">
        <f t="shared" si="1"/>
        <v>0.55576109310214783</v>
      </c>
    </row>
    <row r="56" spans="1:7" ht="15.75" thickBot="1" x14ac:dyDescent="0.3">
      <c r="A56" s="167"/>
      <c r="B56" s="30" t="s">
        <v>86</v>
      </c>
      <c r="C56" s="81">
        <v>9.1948890000000005E-2</v>
      </c>
      <c r="D56" s="91">
        <v>2.7389000000000002E-5</v>
      </c>
      <c r="E56" s="115">
        <v>0.22937672000000001</v>
      </c>
      <c r="F56" s="1">
        <f t="shared" si="0"/>
        <v>0.10711766633333335</v>
      </c>
      <c r="G56" s="2">
        <f t="shared" si="1"/>
        <v>9.4243824692920544E-2</v>
      </c>
    </row>
    <row r="57" spans="1:7" ht="15.75" thickTop="1" x14ac:dyDescent="0.25">
      <c r="A57" s="165" t="s">
        <v>87</v>
      </c>
      <c r="B57" s="31">
        <v>0.9</v>
      </c>
      <c r="C57" s="84">
        <v>59.578682200000003</v>
      </c>
      <c r="D57" s="85">
        <v>85.663285799999997</v>
      </c>
      <c r="E57" s="112">
        <v>51.026558299999998</v>
      </c>
      <c r="F57" s="1">
        <f t="shared" si="0"/>
        <v>65.422842099999997</v>
      </c>
      <c r="G57" s="2">
        <f t="shared" si="1"/>
        <v>14.731856110255071</v>
      </c>
    </row>
    <row r="58" spans="1:7" x14ac:dyDescent="0.25">
      <c r="A58" s="166"/>
      <c r="B58" s="32">
        <v>0.8</v>
      </c>
      <c r="C58" s="87">
        <v>61.238895200000002</v>
      </c>
      <c r="D58" s="88">
        <v>95.779321800000005</v>
      </c>
      <c r="E58" s="119">
        <v>53.112194299999999</v>
      </c>
      <c r="F58" s="1">
        <f t="shared" si="0"/>
        <v>70.043470433333326</v>
      </c>
      <c r="G58" s="2">
        <f t="shared" si="1"/>
        <v>18.497952157917119</v>
      </c>
    </row>
    <row r="59" spans="1:7" x14ac:dyDescent="0.25">
      <c r="A59" s="166"/>
      <c r="B59" s="32">
        <v>0.7</v>
      </c>
      <c r="C59" s="78">
        <v>63.7745338</v>
      </c>
      <c r="D59" s="79">
        <v>104.619269</v>
      </c>
      <c r="E59" s="114">
        <v>55.519143300000003</v>
      </c>
      <c r="F59" s="1">
        <f t="shared" si="0"/>
        <v>74.6376487</v>
      </c>
      <c r="G59" s="2">
        <f t="shared" si="1"/>
        <v>21.466423936571282</v>
      </c>
    </row>
    <row r="60" spans="1:7" x14ac:dyDescent="0.25">
      <c r="A60" s="166"/>
      <c r="B60" s="32">
        <v>0.6</v>
      </c>
      <c r="C60" s="78">
        <v>67.725574499999993</v>
      </c>
      <c r="D60" s="79">
        <v>116.158536</v>
      </c>
      <c r="E60" s="114">
        <v>58.787180399999997</v>
      </c>
      <c r="F60" s="1">
        <f t="shared" si="0"/>
        <v>80.890430299999991</v>
      </c>
      <c r="G60" s="2">
        <f t="shared" si="1"/>
        <v>25.20387777071231</v>
      </c>
    </row>
    <row r="61" spans="1:7" x14ac:dyDescent="0.25">
      <c r="A61" s="166"/>
      <c r="B61" s="32">
        <v>0.5</v>
      </c>
      <c r="C61" s="78">
        <v>75.595768399999997</v>
      </c>
      <c r="D61" s="79">
        <v>128.89509699999999</v>
      </c>
      <c r="E61" s="114">
        <v>64.847567400000003</v>
      </c>
      <c r="F61" s="1">
        <f t="shared" si="0"/>
        <v>89.779477599999993</v>
      </c>
      <c r="G61" s="2">
        <f t="shared" si="1"/>
        <v>28.004817644688028</v>
      </c>
    </row>
    <row r="62" spans="1:7" x14ac:dyDescent="0.25">
      <c r="A62" s="166"/>
      <c r="B62" s="32">
        <v>0.4</v>
      </c>
      <c r="C62" s="78">
        <v>94.691804700000006</v>
      </c>
      <c r="D62" s="79">
        <v>134.30431400000001</v>
      </c>
      <c r="E62" s="114">
        <v>77.426540799999998</v>
      </c>
      <c r="F62" s="1">
        <f t="shared" si="0"/>
        <v>102.14088650000001</v>
      </c>
      <c r="G62" s="2">
        <f t="shared" si="1"/>
        <v>23.810178296896172</v>
      </c>
    </row>
    <row r="63" spans="1:7" x14ac:dyDescent="0.25">
      <c r="A63" s="166"/>
      <c r="B63" s="32">
        <v>0.3</v>
      </c>
      <c r="C63" s="78">
        <v>111.07341700000001</v>
      </c>
      <c r="D63" s="79">
        <v>139.060722</v>
      </c>
      <c r="E63" s="114">
        <v>102.550517</v>
      </c>
      <c r="F63" s="1">
        <f t="shared" si="0"/>
        <v>117.56155200000001</v>
      </c>
      <c r="G63" s="2">
        <f t="shared" si="1"/>
        <v>15.595313166016108</v>
      </c>
    </row>
    <row r="64" spans="1:7" x14ac:dyDescent="0.25">
      <c r="A64" s="166"/>
      <c r="B64" s="32">
        <v>0.2</v>
      </c>
      <c r="C64" s="78">
        <v>116.72591</v>
      </c>
      <c r="D64" s="79">
        <v>144.83114399999999</v>
      </c>
      <c r="E64" s="114">
        <v>106.705668</v>
      </c>
      <c r="F64" s="1">
        <f t="shared" si="0"/>
        <v>122.75424066666666</v>
      </c>
      <c r="G64" s="2">
        <f t="shared" si="1"/>
        <v>16.137813937594942</v>
      </c>
    </row>
    <row r="65" spans="1:7" x14ac:dyDescent="0.25">
      <c r="A65" s="166"/>
      <c r="B65" s="32">
        <v>0.1</v>
      </c>
      <c r="C65" s="78">
        <v>124.62651099999999</v>
      </c>
      <c r="D65" s="79">
        <v>152.35354799999999</v>
      </c>
      <c r="E65" s="114">
        <v>113.888272</v>
      </c>
      <c r="F65" s="1">
        <f t="shared" si="0"/>
        <v>130.28944366666667</v>
      </c>
      <c r="G65" s="2">
        <f t="shared" si="1"/>
        <v>16.205883072296981</v>
      </c>
    </row>
    <row r="66" spans="1:7" x14ac:dyDescent="0.25">
      <c r="A66" s="166"/>
      <c r="B66" s="32">
        <v>0.5</v>
      </c>
      <c r="C66" s="78">
        <v>63.665503999999999</v>
      </c>
      <c r="D66" s="79">
        <v>110.991102</v>
      </c>
      <c r="E66" s="114">
        <v>53.639828899999998</v>
      </c>
      <c r="F66" s="1">
        <f t="shared" si="0"/>
        <v>76.098811633333341</v>
      </c>
      <c r="G66" s="2">
        <f t="shared" si="1"/>
        <v>25.009764567418106</v>
      </c>
    </row>
    <row r="67" spans="1:7" ht="15.75" thickBot="1" x14ac:dyDescent="0.3">
      <c r="A67" s="167"/>
      <c r="B67" s="33">
        <v>0.2</v>
      </c>
      <c r="C67" s="81">
        <v>104.951838</v>
      </c>
      <c r="D67" s="82">
        <v>134.77775399999999</v>
      </c>
      <c r="E67" s="115">
        <v>86.963056300000005</v>
      </c>
      <c r="F67" s="1">
        <f t="shared" si="0"/>
        <v>108.89754943333332</v>
      </c>
      <c r="G67" s="2">
        <f t="shared" si="1"/>
        <v>19.718651205934446</v>
      </c>
    </row>
    <row r="68" spans="1:7" ht="15.75" thickTop="1" x14ac:dyDescent="0.25">
      <c r="A68" s="165" t="s">
        <v>88</v>
      </c>
      <c r="B68" s="31">
        <v>0.9</v>
      </c>
      <c r="C68" s="78">
        <v>62.078720199999999</v>
      </c>
      <c r="D68" s="79">
        <v>86.701706099999996</v>
      </c>
      <c r="E68" s="114">
        <v>52.864545399999997</v>
      </c>
      <c r="F68" s="1">
        <f t="shared" si="0"/>
        <v>67.214990566666657</v>
      </c>
      <c r="G68" s="2">
        <f t="shared" si="1"/>
        <v>14.283424333098646</v>
      </c>
    </row>
    <row r="69" spans="1:7" x14ac:dyDescent="0.25">
      <c r="A69" s="166"/>
      <c r="B69" s="32">
        <v>0.8</v>
      </c>
      <c r="C69" s="78">
        <v>64.086078299999997</v>
      </c>
      <c r="D69" s="79">
        <v>96.084767200000002</v>
      </c>
      <c r="E69" s="114">
        <v>55.1873717</v>
      </c>
      <c r="F69" s="1">
        <f t="shared" si="0"/>
        <v>71.786072399999995</v>
      </c>
      <c r="G69" s="2">
        <f t="shared" si="1"/>
        <v>17.561637575994688</v>
      </c>
    </row>
    <row r="70" spans="1:7" x14ac:dyDescent="0.25">
      <c r="A70" s="166"/>
      <c r="B70" s="32">
        <v>0.7</v>
      </c>
      <c r="C70" s="78">
        <v>67.321989299999998</v>
      </c>
      <c r="D70" s="79">
        <v>104.69496100000001</v>
      </c>
      <c r="E70" s="114">
        <v>57.947776400000002</v>
      </c>
      <c r="F70" s="1">
        <f t="shared" si="0"/>
        <v>76.654908900000009</v>
      </c>
      <c r="G70" s="2">
        <f t="shared" si="1"/>
        <v>20.193272117245154</v>
      </c>
    </row>
    <row r="71" spans="1:7" x14ac:dyDescent="0.25">
      <c r="A71" s="166"/>
      <c r="B71" s="32">
        <v>0.6</v>
      </c>
      <c r="C71" s="78">
        <v>72.129524399999994</v>
      </c>
      <c r="D71" s="79">
        <v>114.66157699999999</v>
      </c>
      <c r="E71" s="114">
        <v>61.7431166</v>
      </c>
      <c r="F71" s="1">
        <f t="shared" si="0"/>
        <v>82.844739333333337</v>
      </c>
      <c r="G71" s="2">
        <f t="shared" si="1"/>
        <v>22.893998283061556</v>
      </c>
    </row>
    <row r="72" spans="1:7" x14ac:dyDescent="0.25">
      <c r="A72" s="166"/>
      <c r="B72" s="32">
        <v>0.5</v>
      </c>
      <c r="C72" s="78">
        <v>80.6305902</v>
      </c>
      <c r="D72" s="79">
        <v>125.672596</v>
      </c>
      <c r="E72" s="114">
        <v>68.297995900000004</v>
      </c>
      <c r="F72" s="1">
        <f t="shared" si="0"/>
        <v>91.533727366666668</v>
      </c>
      <c r="G72" s="2">
        <f t="shared" si="1"/>
        <v>24.659277959354892</v>
      </c>
    </row>
    <row r="73" spans="1:7" x14ac:dyDescent="0.25">
      <c r="A73" s="166"/>
      <c r="B73" s="32">
        <v>0.4</v>
      </c>
      <c r="C73" s="78">
        <v>98.126689600000006</v>
      </c>
      <c r="D73" s="79">
        <v>131.868832</v>
      </c>
      <c r="E73" s="114">
        <v>80.773749600000002</v>
      </c>
      <c r="F73" s="1">
        <f t="shared" si="0"/>
        <v>103.58975706666668</v>
      </c>
      <c r="G73" s="2">
        <f t="shared" si="1"/>
        <v>21.21415708082235</v>
      </c>
    </row>
    <row r="74" spans="1:7" x14ac:dyDescent="0.25">
      <c r="A74" s="166"/>
      <c r="B74" s="32">
        <v>0.3</v>
      </c>
      <c r="C74" s="78">
        <v>111.289682</v>
      </c>
      <c r="D74" s="79">
        <v>138.092726</v>
      </c>
      <c r="E74" s="114">
        <v>101.42709600000001</v>
      </c>
      <c r="F74" s="1">
        <f t="shared" si="0"/>
        <v>116.93650133333334</v>
      </c>
      <c r="G74" s="2">
        <f t="shared" si="1"/>
        <v>15.492084694271146</v>
      </c>
    </row>
    <row r="75" spans="1:7" x14ac:dyDescent="0.25">
      <c r="A75" s="166"/>
      <c r="B75" s="32">
        <v>0.2</v>
      </c>
      <c r="C75" s="78">
        <v>119.999804</v>
      </c>
      <c r="D75" s="79">
        <v>149.28097</v>
      </c>
      <c r="E75" s="114">
        <v>108.606646</v>
      </c>
      <c r="F75" s="1">
        <f t="shared" si="0"/>
        <v>125.96247333333334</v>
      </c>
      <c r="G75" s="2">
        <f t="shared" si="1"/>
        <v>17.132137975128174</v>
      </c>
    </row>
    <row r="76" spans="1:7" x14ac:dyDescent="0.25">
      <c r="A76" s="166"/>
      <c r="B76" s="32">
        <v>0.1</v>
      </c>
      <c r="C76" s="78">
        <v>181.765433</v>
      </c>
      <c r="D76" s="79">
        <v>214.343063</v>
      </c>
      <c r="E76" s="114">
        <v>163.518867</v>
      </c>
      <c r="F76" s="1">
        <f t="shared" si="0"/>
        <v>186.54245433333335</v>
      </c>
      <c r="G76" s="2">
        <f t="shared" si="1"/>
        <v>21.022046750589091</v>
      </c>
    </row>
    <row r="77" spans="1:7" x14ac:dyDescent="0.25">
      <c r="A77" s="166"/>
      <c r="B77" s="32">
        <v>0.5</v>
      </c>
      <c r="C77" s="78">
        <v>67.200153</v>
      </c>
      <c r="D77" s="79">
        <v>111.028279</v>
      </c>
      <c r="E77" s="114">
        <v>55.941520799999999</v>
      </c>
      <c r="F77" s="1">
        <f t="shared" ref="F77:F138" si="2">AVERAGE(C77:E77)</f>
        <v>78.05665093333333</v>
      </c>
      <c r="G77" s="2">
        <f t="shared" ref="G77:G138" si="3">_xlfn.STDEV.P(C77:E77)</f>
        <v>23.763212363913397</v>
      </c>
    </row>
    <row r="78" spans="1:7" ht="15.75" thickBot="1" x14ac:dyDescent="0.3">
      <c r="A78" s="167"/>
      <c r="B78" s="33">
        <v>0.2</v>
      </c>
      <c r="C78" s="81">
        <v>120.91611</v>
      </c>
      <c r="D78" s="82">
        <v>156.44751199999999</v>
      </c>
      <c r="E78" s="115">
        <v>99.529261399999996</v>
      </c>
      <c r="F78" s="1">
        <f t="shared" si="2"/>
        <v>125.63096113333332</v>
      </c>
      <c r="G78" s="2">
        <f t="shared" si="3"/>
        <v>23.474726533703219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3.0604992000000008E-2</v>
      </c>
      <c r="D80">
        <f>D25</f>
        <v>3.0612960000000002E-2</v>
      </c>
      <c r="E80">
        <f>E25</f>
        <v>3.0646656000000005E-2</v>
      </c>
      <c r="F80" s="1">
        <f t="shared" si="2"/>
        <v>3.0621536000000005E-2</v>
      </c>
      <c r="G80" s="2">
        <f t="shared" si="3"/>
        <v>1.8057926348282163E-5</v>
      </c>
    </row>
    <row r="81" spans="1:7" ht="15.75" thickTop="1" x14ac:dyDescent="0.25">
      <c r="A81" s="161" t="s">
        <v>90</v>
      </c>
      <c r="B81" s="38" t="s">
        <v>73</v>
      </c>
      <c r="C81">
        <f>C33/C80</f>
        <v>182.67606931575079</v>
      </c>
      <c r="D81">
        <f>D33/D80</f>
        <v>182.49134222891217</v>
      </c>
      <c r="E81">
        <f>E33/E80</f>
        <v>180.78416614197644</v>
      </c>
      <c r="F81" s="1">
        <f t="shared" si="2"/>
        <v>181.98385922887982</v>
      </c>
      <c r="G81" s="2">
        <f t="shared" si="3"/>
        <v>0.8516566801341795</v>
      </c>
    </row>
    <row r="82" spans="1:7" x14ac:dyDescent="0.25">
      <c r="A82" s="162"/>
      <c r="B82" s="38" t="s">
        <v>74</v>
      </c>
      <c r="C82">
        <f>C34/C80</f>
        <v>166.16376570201354</v>
      </c>
      <c r="D82">
        <f>D34/D80</f>
        <v>166.189628510278</v>
      </c>
      <c r="E82">
        <f>E34/E80</f>
        <v>166.99413077890128</v>
      </c>
      <c r="F82" s="1">
        <f t="shared" si="2"/>
        <v>166.44917499706426</v>
      </c>
      <c r="G82" s="2">
        <f t="shared" si="3"/>
        <v>0.38548655344557314</v>
      </c>
    </row>
    <row r="83" spans="1:7" x14ac:dyDescent="0.25">
      <c r="A83" s="162"/>
      <c r="B83" s="38" t="s">
        <v>75</v>
      </c>
      <c r="C83">
        <f>C35/C80</f>
        <v>158.18502452148979</v>
      </c>
      <c r="D83">
        <f>D35/D80</f>
        <v>158.04441844238517</v>
      </c>
      <c r="E83">
        <f>E35/E80</f>
        <v>159.02478038713258</v>
      </c>
      <c r="F83" s="1">
        <f t="shared" si="2"/>
        <v>158.41807445033584</v>
      </c>
      <c r="G83" s="2">
        <f t="shared" si="3"/>
        <v>0.43282913309110477</v>
      </c>
    </row>
    <row r="84" spans="1:7" x14ac:dyDescent="0.25">
      <c r="A84" s="162"/>
      <c r="B84" s="38" t="s">
        <v>76</v>
      </c>
      <c r="C84">
        <f>C36/C80</f>
        <v>159.06813274122072</v>
      </c>
      <c r="D84">
        <f>D36/D80</f>
        <v>158.88575067553089</v>
      </c>
      <c r="E84">
        <f>E36/E80</f>
        <v>159.86332472945824</v>
      </c>
      <c r="F84" s="1">
        <f t="shared" si="2"/>
        <v>159.27240271540327</v>
      </c>
      <c r="G84" s="2">
        <f t="shared" si="3"/>
        <v>0.42442700549674361</v>
      </c>
    </row>
    <row r="85" spans="1:7" x14ac:dyDescent="0.25">
      <c r="A85" s="162"/>
      <c r="B85" s="38" t="s">
        <v>77</v>
      </c>
      <c r="C85">
        <f>C37/C80</f>
        <v>159.6846485044008</v>
      </c>
      <c r="D85">
        <f>D37/D80</f>
        <v>159.40995578343291</v>
      </c>
      <c r="E85">
        <f>E37/E80</f>
        <v>160.42345598815083</v>
      </c>
      <c r="F85" s="1">
        <f t="shared" si="2"/>
        <v>159.8393534253282</v>
      </c>
      <c r="G85" s="2">
        <f t="shared" si="3"/>
        <v>0.42797653803308833</v>
      </c>
    </row>
    <row r="86" spans="1:7" x14ac:dyDescent="0.25">
      <c r="A86" s="162"/>
      <c r="B86" s="38" t="s">
        <v>78</v>
      </c>
      <c r="C86">
        <f>C38/C80</f>
        <v>160.23938186293265</v>
      </c>
      <c r="D86">
        <f>D38/D80</f>
        <v>159.91600256884666</v>
      </c>
      <c r="E86">
        <f>E38/E80</f>
        <v>160.95191886514468</v>
      </c>
      <c r="F86" s="1">
        <f t="shared" si="2"/>
        <v>160.36910109897465</v>
      </c>
      <c r="G86" s="2">
        <f t="shared" si="3"/>
        <v>0.43274392226307157</v>
      </c>
    </row>
    <row r="87" spans="1:7" x14ac:dyDescent="0.25">
      <c r="A87" s="162"/>
      <c r="B87" s="38" t="s">
        <v>79</v>
      </c>
      <c r="C87">
        <f>C39/C80</f>
        <v>161.49227485503013</v>
      </c>
      <c r="D87">
        <f>D39/D80</f>
        <v>161.12124766765447</v>
      </c>
      <c r="E87">
        <f>E39/E80</f>
        <v>162.14134977728074</v>
      </c>
      <c r="F87" s="1">
        <f t="shared" si="2"/>
        <v>161.58495743332176</v>
      </c>
      <c r="G87" s="2">
        <f t="shared" si="3"/>
        <v>0.42158006258604452</v>
      </c>
    </row>
    <row r="88" spans="1:7" x14ac:dyDescent="0.25">
      <c r="A88" s="162"/>
      <c r="B88" s="38" t="s">
        <v>80</v>
      </c>
      <c r="C88">
        <f>C40/C80</f>
        <v>161.17871032281266</v>
      </c>
      <c r="D88">
        <f>D40/D80</f>
        <v>160.75416000282232</v>
      </c>
      <c r="E88">
        <f>E40/E80</f>
        <v>161.83176983485569</v>
      </c>
      <c r="F88" s="1">
        <f t="shared" si="2"/>
        <v>161.25488005349689</v>
      </c>
      <c r="G88" s="2">
        <f t="shared" si="3"/>
        <v>0.44321710889670479</v>
      </c>
    </row>
    <row r="89" spans="1:7" x14ac:dyDescent="0.25">
      <c r="A89" s="162"/>
      <c r="B89" s="38" t="s">
        <v>80</v>
      </c>
      <c r="C89">
        <f>C41/C80</f>
        <v>154.15172073889119</v>
      </c>
      <c r="D89">
        <f>D41/D80</f>
        <v>153.91999793551489</v>
      </c>
      <c r="E89">
        <f>E41/E80</f>
        <v>155.13772040903908</v>
      </c>
      <c r="F89" s="1">
        <f t="shared" si="2"/>
        <v>154.40314636114837</v>
      </c>
      <c r="G89" s="2">
        <f t="shared" si="3"/>
        <v>0.52796662664543004</v>
      </c>
    </row>
    <row r="90" spans="1:7" x14ac:dyDescent="0.25">
      <c r="A90" s="162"/>
      <c r="B90" s="38" t="s">
        <v>80</v>
      </c>
      <c r="C90">
        <f>C42/C80</f>
        <v>144.90264333347966</v>
      </c>
      <c r="D90">
        <f>D42/D80</f>
        <v>145.49325873747588</v>
      </c>
      <c r="E90">
        <f>E42/E80</f>
        <v>147.66034441082249</v>
      </c>
      <c r="F90" s="1">
        <f t="shared" si="2"/>
        <v>146.01874882725937</v>
      </c>
      <c r="G90" s="2">
        <f t="shared" si="3"/>
        <v>1.1855613814672841</v>
      </c>
    </row>
    <row r="91" spans="1:7" x14ac:dyDescent="0.25">
      <c r="A91" s="162"/>
      <c r="B91" s="38" t="s">
        <v>80</v>
      </c>
      <c r="C91">
        <f>C43/C80</f>
        <v>131.92721991235936</v>
      </c>
      <c r="D91">
        <f>D43/D80</f>
        <v>132.03280734695372</v>
      </c>
      <c r="E91">
        <f>E43/E80</f>
        <v>132.40421304040478</v>
      </c>
      <c r="F91" s="1">
        <f t="shared" si="2"/>
        <v>132.12141343323927</v>
      </c>
      <c r="G91" s="2">
        <f t="shared" si="3"/>
        <v>0.20456276941446516</v>
      </c>
    </row>
    <row r="92" spans="1:7" ht="15.75" thickBot="1" x14ac:dyDescent="0.3">
      <c r="A92" s="163"/>
      <c r="B92" s="39" t="s">
        <v>80</v>
      </c>
      <c r="C92">
        <f>C44/C80</f>
        <v>52.072831125066124</v>
      </c>
      <c r="D92">
        <f>D44/D80</f>
        <v>21.041894348014697</v>
      </c>
      <c r="E92">
        <f>E44/E80</f>
        <v>63.993512701679421</v>
      </c>
      <c r="F92" s="1">
        <f t="shared" si="2"/>
        <v>45.70274605825341</v>
      </c>
      <c r="G92" s="2">
        <f t="shared" si="3"/>
        <v>18.104214382633678</v>
      </c>
    </row>
    <row r="93" spans="1:7" ht="15.75" thickTop="1" x14ac:dyDescent="0.25">
      <c r="A93" s="161" t="s">
        <v>91</v>
      </c>
      <c r="B93" s="40" t="s">
        <v>73</v>
      </c>
      <c r="C93">
        <f>C45/C80</f>
        <v>165.30695188549629</v>
      </c>
      <c r="D93">
        <f>D45/D80</f>
        <v>165.68072378495904</v>
      </c>
      <c r="E93">
        <f>E45/E80</f>
        <v>165.1662354287528</v>
      </c>
      <c r="F93" s="1">
        <f t="shared" si="2"/>
        <v>165.38463703306937</v>
      </c>
      <c r="G93" s="2">
        <f t="shared" si="3"/>
        <v>0.21710336061123794</v>
      </c>
    </row>
    <row r="94" spans="1:7" x14ac:dyDescent="0.25">
      <c r="A94" s="162"/>
      <c r="B94" s="38" t="s">
        <v>74</v>
      </c>
      <c r="C94">
        <f>C46/C80</f>
        <v>157.79322700035334</v>
      </c>
      <c r="D94">
        <f>D46/D80</f>
        <v>157.7412011122087</v>
      </c>
      <c r="E94">
        <f>E46/E80</f>
        <v>158.67732355530075</v>
      </c>
      <c r="F94" s="1">
        <f t="shared" si="2"/>
        <v>158.0705838892876</v>
      </c>
      <c r="G94" s="2">
        <f t="shared" si="3"/>
        <v>0.42955514973409531</v>
      </c>
    </row>
    <row r="95" spans="1:7" x14ac:dyDescent="0.25">
      <c r="A95" s="162"/>
      <c r="B95" s="38" t="s">
        <v>75</v>
      </c>
      <c r="C95">
        <f>C47/C80</f>
        <v>158.67210029004414</v>
      </c>
      <c r="D95">
        <f>D47/D80</f>
        <v>158.57095458916746</v>
      </c>
      <c r="E95">
        <f>E47/E80</f>
        <v>159.5860510849862</v>
      </c>
      <c r="F95" s="1">
        <f t="shared" si="2"/>
        <v>158.94303532139926</v>
      </c>
      <c r="G95" s="2">
        <f t="shared" si="3"/>
        <v>0.45655198124450308</v>
      </c>
    </row>
    <row r="96" spans="1:7" x14ac:dyDescent="0.25">
      <c r="A96" s="162"/>
      <c r="B96" s="38" t="s">
        <v>76</v>
      </c>
      <c r="C96">
        <f>C48/C80</f>
        <v>159.30259416503029</v>
      </c>
      <c r="D96">
        <f>D48/D80</f>
        <v>159.11429734334737</v>
      </c>
      <c r="E96">
        <f>E48/E80</f>
        <v>160.1823265807532</v>
      </c>
      <c r="F96" s="1">
        <f t="shared" si="2"/>
        <v>159.53307269637696</v>
      </c>
      <c r="G96" s="2">
        <f t="shared" si="3"/>
        <v>0.46548317409419071</v>
      </c>
    </row>
    <row r="97" spans="1:7" x14ac:dyDescent="0.25">
      <c r="A97" s="162"/>
      <c r="B97" s="38" t="s">
        <v>77</v>
      </c>
      <c r="C97">
        <f>C49/C80</f>
        <v>159.86987122885046</v>
      </c>
      <c r="D97">
        <f>D49/D80</f>
        <v>159.63180332774093</v>
      </c>
      <c r="E97">
        <f>E49/E80</f>
        <v>160.73723018915993</v>
      </c>
      <c r="F97" s="1">
        <f t="shared" si="2"/>
        <v>160.07963491525047</v>
      </c>
      <c r="G97" s="2">
        <f t="shared" si="3"/>
        <v>0.47503876303992304</v>
      </c>
    </row>
    <row r="98" spans="1:7" x14ac:dyDescent="0.25">
      <c r="A98" s="162"/>
      <c r="B98" s="38" t="s">
        <v>78</v>
      </c>
      <c r="C98">
        <f>C50/C80</f>
        <v>160.36822097519251</v>
      </c>
      <c r="D98">
        <f>D50/D80</f>
        <v>160.06820248678991</v>
      </c>
      <c r="E98">
        <f>E50/E80</f>
        <v>161.22894256391299</v>
      </c>
      <c r="F98" s="1">
        <f t="shared" si="2"/>
        <v>160.5551220086318</v>
      </c>
      <c r="G98" s="2">
        <f t="shared" si="3"/>
        <v>0.49195418410351344</v>
      </c>
    </row>
    <row r="99" spans="1:7" x14ac:dyDescent="0.25">
      <c r="A99" s="162"/>
      <c r="B99" s="38" t="s">
        <v>79</v>
      </c>
      <c r="C99">
        <f>C51/C80</f>
        <v>161.53636831533882</v>
      </c>
      <c r="D99">
        <f>D51/D80</f>
        <v>161.17768487594796</v>
      </c>
      <c r="E99">
        <f>E51/E80</f>
        <v>162.28366057295125</v>
      </c>
      <c r="F99" s="1">
        <f t="shared" si="2"/>
        <v>161.66590458807934</v>
      </c>
      <c r="G99" s="2">
        <f t="shared" si="3"/>
        <v>0.46070981109378573</v>
      </c>
    </row>
    <row r="100" spans="1:7" x14ac:dyDescent="0.25">
      <c r="A100" s="162"/>
      <c r="B100" s="38" t="s">
        <v>82</v>
      </c>
      <c r="C100">
        <f>C52/C80</f>
        <v>153.76635223430213</v>
      </c>
      <c r="D100">
        <f>D52/D80</f>
        <v>153.73414037714747</v>
      </c>
      <c r="E100">
        <f>E52/E80</f>
        <v>155.14356019788909</v>
      </c>
      <c r="F100" s="1">
        <f t="shared" si="2"/>
        <v>154.21468426977955</v>
      </c>
      <c r="G100" s="2">
        <f t="shared" si="3"/>
        <v>0.65694610042800095</v>
      </c>
    </row>
    <row r="101" spans="1:7" x14ac:dyDescent="0.25">
      <c r="A101" s="162"/>
      <c r="B101" s="38" t="s">
        <v>83</v>
      </c>
      <c r="C101">
        <f>C53/C80</f>
        <v>144.61659228664391</v>
      </c>
      <c r="D101">
        <f>D53/D80</f>
        <v>145.32044924763892</v>
      </c>
      <c r="E101">
        <f>E53/E80</f>
        <v>147.5956636182427</v>
      </c>
      <c r="F101" s="1">
        <f t="shared" si="2"/>
        <v>145.84423505084183</v>
      </c>
      <c r="G101" s="2">
        <f t="shared" si="3"/>
        <v>1.2713457896827656</v>
      </c>
    </row>
    <row r="102" spans="1:7" x14ac:dyDescent="0.25">
      <c r="A102" s="162"/>
      <c r="B102" s="38" t="s">
        <v>84</v>
      </c>
      <c r="C102">
        <f>C54/C80</f>
        <v>126.80431643308383</v>
      </c>
      <c r="D102">
        <f>D54/D80</f>
        <v>125.22196514156096</v>
      </c>
      <c r="E102">
        <f>E54/E80</f>
        <v>133.82605527989739</v>
      </c>
      <c r="F102" s="1">
        <f t="shared" si="2"/>
        <v>128.61744561818071</v>
      </c>
      <c r="G102" s="2">
        <f t="shared" si="3"/>
        <v>3.7392664038589318</v>
      </c>
    </row>
    <row r="103" spans="1:7" x14ac:dyDescent="0.25">
      <c r="A103" s="162"/>
      <c r="B103" s="38" t="s">
        <v>85</v>
      </c>
      <c r="C103">
        <f>C55/C80</f>
        <v>51.912925839026506</v>
      </c>
      <c r="D103">
        <f>D55/D80</f>
        <v>20.93153814593558</v>
      </c>
      <c r="E103">
        <f>E55/E80</f>
        <v>63.983235234539123</v>
      </c>
      <c r="F103" s="1">
        <f t="shared" si="2"/>
        <v>45.609233073167069</v>
      </c>
      <c r="G103" s="2">
        <f t="shared" si="3"/>
        <v>18.132191675157582</v>
      </c>
    </row>
    <row r="104" spans="1:7" ht="15.75" thickBot="1" x14ac:dyDescent="0.3">
      <c r="A104" s="163"/>
      <c r="B104" s="39" t="s">
        <v>86</v>
      </c>
      <c r="C104">
        <f>C56/C80</f>
        <v>3.0043755606928433</v>
      </c>
      <c r="D104">
        <f>D56/D80</f>
        <v>8.9468643345824771E-4</v>
      </c>
      <c r="E104">
        <f>E56/E80</f>
        <v>7.4845594899489187</v>
      </c>
      <c r="F104" s="1">
        <f t="shared" si="2"/>
        <v>3.4966099123584069</v>
      </c>
      <c r="G104" s="2">
        <f t="shared" si="3"/>
        <v>3.0749559038099754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0.32136989571095281</v>
      </c>
      <c r="D106">
        <f>D55/D51</f>
        <v>0.12986622907535711</v>
      </c>
      <c r="E106">
        <f>E55/E51</f>
        <v>0.39426788259916523</v>
      </c>
      <c r="F106" s="1">
        <f t="shared" si="2"/>
        <v>0.2818346691284917</v>
      </c>
      <c r="G106" s="2">
        <f t="shared" si="3"/>
        <v>0.11150286753330865</v>
      </c>
    </row>
    <row r="107" spans="1:7" ht="15.75" thickBot="1" x14ac:dyDescent="0.3">
      <c r="A107" s="36"/>
      <c r="B107" s="39" t="s">
        <v>94</v>
      </c>
      <c r="C107">
        <f>(1-C45/C33)*100</f>
        <v>9.5081515029932344</v>
      </c>
      <c r="D107">
        <f>(1-D45/D33)*100</f>
        <v>9.2117347807472161</v>
      </c>
      <c r="E107">
        <f>(1-E45/E33)*100</f>
        <v>8.6389925879671985</v>
      </c>
      <c r="F107" s="1">
        <f t="shared" si="2"/>
        <v>9.1196262905692169</v>
      </c>
      <c r="G107" s="2">
        <f t="shared" si="3"/>
        <v>0.36076057190742816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1.18643016E-2</v>
      </c>
      <c r="D110">
        <f>D16*D21/10^4</f>
        <v>1.18643016E-2</v>
      </c>
      <c r="E110">
        <f>E16*E21/10^4</f>
        <v>1.18643016E-2</v>
      </c>
      <c r="F110" s="1">
        <f t="shared" si="2"/>
        <v>1.18643016E-2</v>
      </c>
      <c r="G110" s="2">
        <f t="shared" si="3"/>
        <v>0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471.22871859562304</v>
      </c>
      <c r="D111">
        <f>D33/D110</f>
        <v>470.87475928629459</v>
      </c>
      <c r="E111">
        <f>E33/E110</f>
        <v>466.98325251610254</v>
      </c>
      <c r="F111" s="1">
        <f t="shared" si="2"/>
        <v>469.69557679934002</v>
      </c>
      <c r="G111" s="2">
        <f t="shared" si="3"/>
        <v>1.9233389476368083</v>
      </c>
    </row>
    <row r="112" spans="1:7" x14ac:dyDescent="0.25">
      <c r="A112" s="162"/>
      <c r="B112" s="38" t="s">
        <v>74</v>
      </c>
      <c r="C112">
        <f>C34/C110</f>
        <v>428.63380344275811</v>
      </c>
      <c r="D112">
        <f>D34/D110</f>
        <v>428.8121308379416</v>
      </c>
      <c r="E112">
        <f>E34/E110</f>
        <v>431.36223711642663</v>
      </c>
      <c r="F112" s="1">
        <f t="shared" si="2"/>
        <v>429.60272379904217</v>
      </c>
      <c r="G112" s="2">
        <f t="shared" si="3"/>
        <v>1.2462919669987267</v>
      </c>
    </row>
    <row r="113" spans="1:7" x14ac:dyDescent="0.25">
      <c r="A113" s="162"/>
      <c r="B113" s="38" t="s">
        <v>75</v>
      </c>
      <c r="C113">
        <f>C35/C110</f>
        <v>408.05195056740632</v>
      </c>
      <c r="D113">
        <f>D35/D110</f>
        <v>407.79538679293182</v>
      </c>
      <c r="E113">
        <f>E35/E110</f>
        <v>410.77662253629831</v>
      </c>
      <c r="F113" s="1">
        <f t="shared" si="2"/>
        <v>408.87465329887874</v>
      </c>
      <c r="G113" s="2">
        <f t="shared" si="3"/>
        <v>1.3489678715375206</v>
      </c>
    </row>
    <row r="114" spans="1:7" x14ac:dyDescent="0.25">
      <c r="A114" s="162"/>
      <c r="B114" s="38" t="s">
        <v>76</v>
      </c>
      <c r="C114">
        <f>C36/C110</f>
        <v>410.33000459125213</v>
      </c>
      <c r="D114">
        <f>D36/D110</f>
        <v>409.96624108072234</v>
      </c>
      <c r="E114">
        <f>E36/E110</f>
        <v>412.94266491000195</v>
      </c>
      <c r="F114" s="1">
        <f t="shared" si="2"/>
        <v>411.07963686065881</v>
      </c>
      <c r="G114" s="2">
        <f t="shared" si="3"/>
        <v>1.3257038652171975</v>
      </c>
    </row>
    <row r="115" spans="1:7" x14ac:dyDescent="0.25">
      <c r="A115" s="162"/>
      <c r="B115" s="38" t="s">
        <v>77</v>
      </c>
      <c r="C115">
        <f>C37/C110</f>
        <v>411.92036031855429</v>
      </c>
      <c r="D115">
        <f>D37/D110</f>
        <v>411.31882554300546</v>
      </c>
      <c r="E115">
        <f>E37/E110</f>
        <v>414.3895389510327</v>
      </c>
      <c r="F115" s="1">
        <f t="shared" si="2"/>
        <v>412.54290827086407</v>
      </c>
      <c r="G115" s="2">
        <f t="shared" si="3"/>
        <v>1.3286571349181793</v>
      </c>
    </row>
    <row r="116" spans="1:7" x14ac:dyDescent="0.25">
      <c r="A116" s="162"/>
      <c r="B116" s="38" t="s">
        <v>78</v>
      </c>
      <c r="C116">
        <f>C38/C110</f>
        <v>413.35134299013436</v>
      </c>
      <c r="D116">
        <f>D38/D110</f>
        <v>412.6245568470714</v>
      </c>
      <c r="E116">
        <f>E38/E110</f>
        <v>415.75461045258663</v>
      </c>
      <c r="F116" s="1">
        <f t="shared" si="2"/>
        <v>413.91017009659748</v>
      </c>
      <c r="G116" s="2">
        <f t="shared" si="3"/>
        <v>1.3375412004964358</v>
      </c>
    </row>
    <row r="117" spans="1:7" x14ac:dyDescent="0.25">
      <c r="A117" s="162"/>
      <c r="B117" s="38" t="s">
        <v>79</v>
      </c>
      <c r="C117">
        <f>C39/C110</f>
        <v>416.58328881322433</v>
      </c>
      <c r="D117">
        <f>D39/D110</f>
        <v>415.73440024484881</v>
      </c>
      <c r="E117">
        <f>E39/E110</f>
        <v>418.82702729000079</v>
      </c>
      <c r="F117" s="1">
        <f t="shared" si="2"/>
        <v>417.04823878269127</v>
      </c>
      <c r="G117" s="2">
        <f t="shared" si="3"/>
        <v>1.3046632683523778</v>
      </c>
    </row>
    <row r="118" spans="1:7" x14ac:dyDescent="0.25">
      <c r="A118" s="162"/>
      <c r="B118" s="38" t="s">
        <v>80</v>
      </c>
      <c r="C118">
        <f>C40/C110</f>
        <v>415.77442198536153</v>
      </c>
      <c r="D118">
        <f>D40/D110</f>
        <v>414.78721933366899</v>
      </c>
      <c r="E118">
        <f>E40/E110</f>
        <v>418.02735190076424</v>
      </c>
      <c r="F118" s="1">
        <f t="shared" si="2"/>
        <v>416.1963310732649</v>
      </c>
      <c r="G118" s="2">
        <f t="shared" si="3"/>
        <v>1.3560039876857373</v>
      </c>
    </row>
    <row r="119" spans="1:7" x14ac:dyDescent="0.25">
      <c r="A119" s="162"/>
      <c r="B119" s="38" t="s">
        <v>80</v>
      </c>
      <c r="C119">
        <f>C41/C110</f>
        <v>397.64769466076285</v>
      </c>
      <c r="D119">
        <f>D41/D110</f>
        <v>397.1533174780385</v>
      </c>
      <c r="E119">
        <f>E41/E110</f>
        <v>400.73596493872003</v>
      </c>
      <c r="F119" s="1">
        <f t="shared" si="2"/>
        <v>398.51232569250715</v>
      </c>
      <c r="G119" s="2">
        <f t="shared" si="3"/>
        <v>1.5852509417908844</v>
      </c>
    </row>
    <row r="120" spans="1:7" x14ac:dyDescent="0.25">
      <c r="A120" s="162"/>
      <c r="B120" s="38" t="s">
        <v>80</v>
      </c>
      <c r="C120">
        <f>C42/C110</f>
        <v>373.78889963485079</v>
      </c>
      <c r="D120">
        <f>D42/D110</f>
        <v>375.41015562180246</v>
      </c>
      <c r="E120">
        <f>E42/E110</f>
        <v>381.42116852457633</v>
      </c>
      <c r="F120" s="1">
        <f t="shared" si="2"/>
        <v>376.87340792707658</v>
      </c>
      <c r="G120" s="2">
        <f t="shared" si="3"/>
        <v>3.2831603253507105</v>
      </c>
    </row>
    <row r="121" spans="1:7" x14ac:dyDescent="0.25">
      <c r="A121" s="162"/>
      <c r="B121" s="38" t="s">
        <v>80</v>
      </c>
      <c r="C121">
        <f>C43/C110</f>
        <v>340.31767280764336</v>
      </c>
      <c r="D121">
        <f>D43/D110</f>
        <v>340.67871723692525</v>
      </c>
      <c r="E121">
        <f>E43/E110</f>
        <v>342.01308318055572</v>
      </c>
      <c r="F121" s="1">
        <f t="shared" si="2"/>
        <v>341.00315774170809</v>
      </c>
      <c r="G121" s="2">
        <f t="shared" si="3"/>
        <v>0.72917776250720823</v>
      </c>
    </row>
    <row r="122" spans="1:7" ht="15.75" thickBot="1" x14ac:dyDescent="0.3">
      <c r="A122" s="163"/>
      <c r="B122" s="39" t="s">
        <v>80</v>
      </c>
      <c r="C122">
        <f>C44/C110</f>
        <v>134.32637113675531</v>
      </c>
      <c r="D122">
        <f>D44/D110</f>
        <v>54.293517791220012</v>
      </c>
      <c r="E122">
        <f>E44/E110</f>
        <v>165.301526893079</v>
      </c>
      <c r="F122" s="1">
        <f t="shared" si="2"/>
        <v>117.97380527368477</v>
      </c>
      <c r="G122" s="2">
        <f t="shared" si="3"/>
        <v>46.770712551903308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426.42357810593757</v>
      </c>
      <c r="D123">
        <f>D45/D110</f>
        <v>427.49902531135922</v>
      </c>
      <c r="E123">
        <f>E45/E110</f>
        <v>426.64060394418834</v>
      </c>
      <c r="F123" s="1">
        <f t="shared" si="2"/>
        <v>426.85440245382841</v>
      </c>
      <c r="G123" s="2">
        <f t="shared" si="3"/>
        <v>0.46434830673790234</v>
      </c>
    </row>
    <row r="124" spans="1:7" x14ac:dyDescent="0.25">
      <c r="A124" s="162"/>
      <c r="B124" s="38" t="s">
        <v>74</v>
      </c>
      <c r="C124">
        <f>C46/C110</f>
        <v>407.04127497905142</v>
      </c>
      <c r="D124">
        <f>D46/D110</f>
        <v>407.01300782845914</v>
      </c>
      <c r="E124">
        <f>E46/E110</f>
        <v>409.87910742255576</v>
      </c>
      <c r="F124" s="1">
        <f t="shared" si="2"/>
        <v>407.97779674335544</v>
      </c>
      <c r="G124" s="2">
        <f t="shared" si="3"/>
        <v>1.3444792008014459</v>
      </c>
    </row>
    <row r="125" spans="1:7" x14ac:dyDescent="0.25">
      <c r="A125" s="162"/>
      <c r="B125" s="38" t="s">
        <v>75</v>
      </c>
      <c r="C125">
        <f>C47/C110</f>
        <v>409.3084046346226</v>
      </c>
      <c r="D125">
        <f>D47/D110</f>
        <v>409.15398593710734</v>
      </c>
      <c r="E125">
        <f>E47/E110</f>
        <v>412.22643986056454</v>
      </c>
      <c r="F125" s="1">
        <f t="shared" si="2"/>
        <v>410.22961014409816</v>
      </c>
      <c r="G125" s="2">
        <f t="shared" si="3"/>
        <v>1.4133784515498033</v>
      </c>
    </row>
    <row r="126" spans="1:7" x14ac:dyDescent="0.25">
      <c r="A126" s="162"/>
      <c r="B126" s="38" t="s">
        <v>76</v>
      </c>
      <c r="C126">
        <f>C48/C110</f>
        <v>410.93481811015323</v>
      </c>
      <c r="D126">
        <f>D48/D110</f>
        <v>410.55595046572313</v>
      </c>
      <c r="E126">
        <f>E48/E110</f>
        <v>413.76667801499588</v>
      </c>
      <c r="F126" s="1">
        <f t="shared" si="2"/>
        <v>411.75248219695737</v>
      </c>
      <c r="G126" s="2">
        <f t="shared" si="3"/>
        <v>1.4326255077192436</v>
      </c>
    </row>
    <row r="127" spans="1:7" x14ac:dyDescent="0.25">
      <c r="A127" s="162"/>
      <c r="B127" s="38" t="s">
        <v>77</v>
      </c>
      <c r="C127">
        <f>C49/C110</f>
        <v>412.3981583543021</v>
      </c>
      <c r="D127">
        <f>D49/D110</f>
        <v>411.89124946048236</v>
      </c>
      <c r="E127">
        <f>E49/E110</f>
        <v>415.20004852203016</v>
      </c>
      <c r="F127" s="1">
        <f t="shared" si="2"/>
        <v>413.16315211227152</v>
      </c>
      <c r="G127" s="2">
        <f t="shared" si="3"/>
        <v>1.4550943599927482</v>
      </c>
    </row>
    <row r="128" spans="1:7" x14ac:dyDescent="0.25">
      <c r="A128" s="162"/>
      <c r="B128" s="38" t="s">
        <v>78</v>
      </c>
      <c r="C128">
        <f>C50/C110</f>
        <v>413.6836946221934</v>
      </c>
      <c r="D128">
        <f>D50/D110</f>
        <v>413.0172719142609</v>
      </c>
      <c r="E128">
        <f>E50/E110</f>
        <v>416.47018986772895</v>
      </c>
      <c r="F128" s="1">
        <f t="shared" si="2"/>
        <v>414.39038546806108</v>
      </c>
      <c r="G128" s="2">
        <f t="shared" si="3"/>
        <v>1.4955978875955429</v>
      </c>
    </row>
    <row r="129" spans="1:7" x14ac:dyDescent="0.25">
      <c r="A129" s="162"/>
      <c r="B129" s="38" t="s">
        <v>79</v>
      </c>
      <c r="C129">
        <f>C51/C110</f>
        <v>416.69703170728565</v>
      </c>
      <c r="D129">
        <f>D51/D110</f>
        <v>415.8800228072422</v>
      </c>
      <c r="E129">
        <f>E51/E110</f>
        <v>419.19463004885176</v>
      </c>
      <c r="F129" s="1">
        <f t="shared" si="2"/>
        <v>417.25722818779315</v>
      </c>
      <c r="G129" s="2">
        <f t="shared" si="3"/>
        <v>1.4099693528850032</v>
      </c>
    </row>
    <row r="130" spans="1:7" x14ac:dyDescent="0.25">
      <c r="A130" s="162"/>
      <c r="B130" s="38" t="s">
        <v>82</v>
      </c>
      <c r="C130">
        <f>C52/C110</f>
        <v>396.65360327657214</v>
      </c>
      <c r="D130">
        <f>D52/D110</f>
        <v>396.67375701238075</v>
      </c>
      <c r="E130">
        <f>E52/E110</f>
        <v>400.75104968673418</v>
      </c>
      <c r="F130" s="1">
        <f t="shared" si="2"/>
        <v>398.02613665856234</v>
      </c>
      <c r="G130" s="2">
        <f t="shared" si="3"/>
        <v>1.9268220470664741</v>
      </c>
    </row>
    <row r="131" spans="1:7" x14ac:dyDescent="0.25">
      <c r="A131" s="162"/>
      <c r="B131" s="38" t="s">
        <v>83</v>
      </c>
      <c r="C131">
        <f>C53/C110</f>
        <v>373.05100622189173</v>
      </c>
      <c r="D131">
        <f>D53/D110</f>
        <v>374.96426254032519</v>
      </c>
      <c r="E131">
        <f>E53/E110</f>
        <v>381.2540916862734</v>
      </c>
      <c r="F131" s="1">
        <f t="shared" si="2"/>
        <v>376.42312014949675</v>
      </c>
      <c r="G131" s="2">
        <f t="shared" si="3"/>
        <v>3.504173885227523</v>
      </c>
    </row>
    <row r="132" spans="1:7" x14ac:dyDescent="0.25">
      <c r="A132" s="162"/>
      <c r="B132" s="38" t="s">
        <v>84</v>
      </c>
      <c r="C132">
        <f>C54/C110</f>
        <v>327.10270025502388</v>
      </c>
      <c r="D132">
        <f>D54/D110</f>
        <v>323.10498664329299</v>
      </c>
      <c r="E132">
        <f>E54/E110</f>
        <v>345.68584129722393</v>
      </c>
      <c r="F132" s="1">
        <f t="shared" si="2"/>
        <v>331.9645093985136</v>
      </c>
      <c r="G132" s="2">
        <f t="shared" si="3"/>
        <v>9.8387546751364443</v>
      </c>
    </row>
    <row r="133" spans="1:7" x14ac:dyDescent="0.25">
      <c r="A133" s="162"/>
      <c r="B133" s="38" t="s">
        <v>85</v>
      </c>
      <c r="C133">
        <f>C55/C110</f>
        <v>133.913881622834</v>
      </c>
      <c r="D133">
        <f>D55/D110</f>
        <v>54.008770309750055</v>
      </c>
      <c r="E133">
        <f>E55/E110</f>
        <v>165.27497918630121</v>
      </c>
      <c r="F133" s="1">
        <f t="shared" si="2"/>
        <v>117.73254370629509</v>
      </c>
      <c r="G133" s="2">
        <f t="shared" si="3"/>
        <v>46.843135975416168</v>
      </c>
    </row>
    <row r="134" spans="1:7" ht="15.75" thickBot="1" x14ac:dyDescent="0.3">
      <c r="A134" s="163"/>
      <c r="B134" s="39" t="s">
        <v>86</v>
      </c>
      <c r="C134">
        <f>C56/C110</f>
        <v>7.7500465766986242</v>
      </c>
      <c r="D134">
        <f>D56/D110</f>
        <v>2.3085218939478073E-3</v>
      </c>
      <c r="E134">
        <f>E56/E110</f>
        <v>19.33335207864237</v>
      </c>
      <c r="F134" s="1">
        <f t="shared" si="2"/>
        <v>9.0285690590783148</v>
      </c>
      <c r="G134" s="2">
        <f t="shared" si="3"/>
        <v>7.9434785013321427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DD050</v>
      </c>
      <c r="D137" s="68" t="str">
        <f>D1</f>
        <v>DD051</v>
      </c>
      <c r="E137" s="68" t="str">
        <f>E1</f>
        <v>DD052</v>
      </c>
    </row>
    <row r="138" spans="1:7" ht="14.45" customHeight="1" x14ac:dyDescent="0.25">
      <c r="A138" s="172"/>
      <c r="B138" s="69" t="s">
        <v>100</v>
      </c>
      <c r="C138" s="68">
        <f>C25</f>
        <v>3.0604992000000008E-2</v>
      </c>
      <c r="D138" s="68">
        <f>D25</f>
        <v>3.0612960000000002E-2</v>
      </c>
      <c r="E138" s="68">
        <f>E25</f>
        <v>3.0646656000000005E-2</v>
      </c>
      <c r="F138" s="1">
        <f t="shared" si="2"/>
        <v>3.0621536000000005E-2</v>
      </c>
      <c r="G138" s="2">
        <f t="shared" si="3"/>
        <v>1.8057926348282163E-5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69</v>
      </c>
      <c r="D142" s="68">
        <f>D21</f>
        <v>69</v>
      </c>
      <c r="E142" s="68">
        <f>E21</f>
        <v>69</v>
      </c>
      <c r="F142" s="1">
        <f t="shared" ref="F142:F151" si="4">AVERAGE(C142:E142)</f>
        <v>69</v>
      </c>
      <c r="G142" s="2">
        <f t="shared" ref="G142:G151" si="5">_xlfn.STDEV.P(C142:E142)</f>
        <v>0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>D16</f>
        <v>1.7194640000000001</v>
      </c>
      <c r="E143" s="68">
        <f>E16</f>
        <v>1.7194640000000001</v>
      </c>
      <c r="F143" s="1">
        <f t="shared" si="4"/>
        <v>1.7194640000000001</v>
      </c>
      <c r="G143" s="2">
        <f t="shared" si="5"/>
        <v>0</v>
      </c>
    </row>
    <row r="144" spans="1:7" ht="14.45" customHeight="1" x14ac:dyDescent="0.25">
      <c r="A144" s="172"/>
      <c r="B144" s="69" t="s">
        <v>106</v>
      </c>
      <c r="C144" s="68">
        <f>C22</f>
        <v>185.40777823786951</v>
      </c>
      <c r="D144" s="68">
        <f>D22</f>
        <v>185.45604909436895</v>
      </c>
      <c r="E144" s="68">
        <f>E22</f>
        <v>185.66018247546913</v>
      </c>
      <c r="F144" s="1">
        <f t="shared" si="4"/>
        <v>185.50800326923584</v>
      </c>
      <c r="G144" s="2">
        <f t="shared" si="5"/>
        <v>0.10939653255972856</v>
      </c>
    </row>
    <row r="145" spans="1:7" ht="14.45" customHeight="1" x14ac:dyDescent="0.25">
      <c r="A145" s="172"/>
      <c r="B145" s="69" t="s">
        <v>107</v>
      </c>
      <c r="C145" s="68">
        <f>C24</f>
        <v>39.724781296002789</v>
      </c>
      <c r="D145" s="68">
        <f>D24</f>
        <v>39.709088661852356</v>
      </c>
      <c r="E145" s="68">
        <f>E24</f>
        <v>39.642725835505267</v>
      </c>
      <c r="F145" s="1">
        <f t="shared" si="4"/>
        <v>39.692198597786806</v>
      </c>
      <c r="G145" s="2">
        <f t="shared" si="5"/>
        <v>3.5564311207247332E-2</v>
      </c>
    </row>
    <row r="146" spans="1:7" ht="14.45" customHeight="1" thickBot="1" x14ac:dyDescent="0.3">
      <c r="A146" s="173"/>
      <c r="B146" s="70" t="s">
        <v>108</v>
      </c>
      <c r="C146" s="68">
        <v>120</v>
      </c>
      <c r="D146" s="68">
        <v>120</v>
      </c>
      <c r="E146">
        <v>120</v>
      </c>
      <c r="F146" s="1">
        <f t="shared" si="4"/>
        <v>120</v>
      </c>
      <c r="G146" s="2">
        <f t="shared" si="5"/>
        <v>0</v>
      </c>
    </row>
    <row r="148" spans="1:7" x14ac:dyDescent="0.25">
      <c r="A148" s="168" t="s">
        <v>109</v>
      </c>
      <c r="B148" s="94" t="s">
        <v>110</v>
      </c>
      <c r="C148">
        <v>5.13</v>
      </c>
      <c r="D148">
        <v>5.13</v>
      </c>
      <c r="E148">
        <v>5.15</v>
      </c>
      <c r="F148" s="1">
        <f t="shared" si="4"/>
        <v>5.1366666666666667</v>
      </c>
      <c r="G148" s="2">
        <f t="shared" si="5"/>
        <v>9.4280904158208518E-3</v>
      </c>
    </row>
    <row r="149" spans="1:7" x14ac:dyDescent="0.25">
      <c r="A149" s="169"/>
      <c r="B149" s="95" t="s">
        <v>111</v>
      </c>
      <c r="C149">
        <v>4.75</v>
      </c>
      <c r="D149">
        <v>4.72</v>
      </c>
      <c r="E149">
        <v>4.79</v>
      </c>
      <c r="F149" s="1">
        <f t="shared" si="4"/>
        <v>4.753333333333333</v>
      </c>
      <c r="G149" s="2">
        <f t="shared" si="5"/>
        <v>2.8674417556808867E-2</v>
      </c>
    </row>
    <row r="150" spans="1:7" x14ac:dyDescent="0.25">
      <c r="A150" s="169"/>
      <c r="B150" s="95" t="s">
        <v>112</v>
      </c>
      <c r="C150">
        <v>4.28</v>
      </c>
      <c r="D150">
        <v>4.45</v>
      </c>
      <c r="E150">
        <v>4.5599999999999996</v>
      </c>
      <c r="F150" s="1">
        <f t="shared" si="4"/>
        <v>4.43</v>
      </c>
      <c r="G150" s="2">
        <f t="shared" si="5"/>
        <v>0.11518101695447305</v>
      </c>
    </row>
    <row r="151" spans="1:7" ht="15.75" thickBot="1" x14ac:dyDescent="0.3">
      <c r="A151" s="170"/>
      <c r="B151" s="96" t="s">
        <v>113</v>
      </c>
      <c r="C151">
        <v>4.96</v>
      </c>
      <c r="D151">
        <v>4.97</v>
      </c>
      <c r="E151" s="5">
        <v>4</v>
      </c>
      <c r="F151" s="1">
        <f t="shared" si="4"/>
        <v>4.6433333333333335</v>
      </c>
      <c r="G151" s="2">
        <f t="shared" si="5"/>
        <v>0.45492368102304309</v>
      </c>
    </row>
  </sheetData>
  <sortState xmlns:xlrd2="http://schemas.microsoft.com/office/spreadsheetml/2017/richdata2" columnSort="1" ref="C1:G148">
    <sortCondition descending="1" ref="C24:G24"/>
  </sortState>
  <mergeCells count="11">
    <mergeCell ref="A81:A92"/>
    <mergeCell ref="A1:A30"/>
    <mergeCell ref="A33:A44"/>
    <mergeCell ref="A45:A56"/>
    <mergeCell ref="A57:A67"/>
    <mergeCell ref="A68:A78"/>
    <mergeCell ref="A148:A151"/>
    <mergeCell ref="A93:A104"/>
    <mergeCell ref="A111:A122"/>
    <mergeCell ref="A123:A134"/>
    <mergeCell ref="A137:A146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9"/>
  <sheetViews>
    <sheetView zoomScale="90" zoomScaleNormal="90" workbookViewId="0">
      <pane ySplit="1" topLeftCell="A138" activePane="bottomLeft" state="frozen"/>
      <selection pane="bottomLeft" activeCell="A161" sqref="A161:XFD161"/>
    </sheetView>
  </sheetViews>
  <sheetFormatPr defaultRowHeight="15" x14ac:dyDescent="0.25"/>
  <cols>
    <col min="1" max="1" width="14.28515625" customWidth="1"/>
    <col min="2" max="2" width="43.140625" style="27" customWidth="1"/>
    <col min="3" max="5" width="20.42578125" bestFit="1" customWidth="1"/>
    <col min="6" max="6" width="13.28515625" style="1" bestFit="1" customWidth="1"/>
    <col min="7" max="7" width="17.5703125" style="2" bestFit="1" customWidth="1"/>
  </cols>
  <sheetData>
    <row r="1" spans="1:7" x14ac:dyDescent="0.25">
      <c r="A1" s="164" t="s">
        <v>24</v>
      </c>
      <c r="B1" s="16" t="s">
        <v>25</v>
      </c>
      <c r="C1" t="s">
        <v>215</v>
      </c>
      <c r="D1" t="s">
        <v>216</v>
      </c>
      <c r="E1" t="s">
        <v>217</v>
      </c>
      <c r="F1" s="60" t="s">
        <v>29</v>
      </c>
      <c r="G1" s="4" t="s">
        <v>30</v>
      </c>
    </row>
    <row r="2" spans="1:7" x14ac:dyDescent="0.25">
      <c r="A2" s="164"/>
      <c r="B2" s="153"/>
    </row>
    <row r="3" spans="1:7" x14ac:dyDescent="0.25">
      <c r="A3" s="164"/>
      <c r="B3" s="17" t="s">
        <v>218</v>
      </c>
    </row>
    <row r="4" spans="1:7" x14ac:dyDescent="0.25">
      <c r="A4" s="164"/>
      <c r="B4" s="17"/>
    </row>
    <row r="5" spans="1:7" x14ac:dyDescent="0.25">
      <c r="A5" s="164"/>
      <c r="B5" s="17" t="s">
        <v>219</v>
      </c>
      <c r="D5" s="6"/>
      <c r="E5" s="6"/>
    </row>
    <row r="6" spans="1:7" x14ac:dyDescent="0.25">
      <c r="A6" s="164"/>
      <c r="B6" s="18" t="s">
        <v>31</v>
      </c>
      <c r="C6" t="s">
        <v>32</v>
      </c>
      <c r="D6" t="s">
        <v>32</v>
      </c>
      <c r="E6" t="s">
        <v>32</v>
      </c>
    </row>
    <row r="7" spans="1:7" x14ac:dyDescent="0.25">
      <c r="A7" s="164"/>
      <c r="B7" s="17" t="s">
        <v>33</v>
      </c>
      <c r="C7">
        <v>80</v>
      </c>
      <c r="D7">
        <v>80</v>
      </c>
      <c r="E7">
        <v>80</v>
      </c>
    </row>
    <row r="8" spans="1:7" x14ac:dyDescent="0.25">
      <c r="A8" s="164"/>
      <c r="B8" s="17"/>
    </row>
    <row r="9" spans="1:7" x14ac:dyDescent="0.25">
      <c r="A9" s="164"/>
      <c r="B9" s="17" t="s">
        <v>220</v>
      </c>
      <c r="C9" s="6"/>
      <c r="D9" s="6"/>
      <c r="E9" s="6"/>
    </row>
    <row r="10" spans="1:7" x14ac:dyDescent="0.25">
      <c r="A10" s="164"/>
      <c r="B10" s="17"/>
      <c r="C10" s="6"/>
      <c r="D10" s="6"/>
      <c r="E10" s="6"/>
    </row>
    <row r="11" spans="1:7" x14ac:dyDescent="0.25">
      <c r="A11" s="164"/>
      <c r="B11" s="17" t="s">
        <v>221</v>
      </c>
      <c r="C11" s="7"/>
      <c r="D11" s="7"/>
      <c r="E11" s="7"/>
    </row>
    <row r="12" spans="1:7" x14ac:dyDescent="0.25">
      <c r="A12" s="164"/>
      <c r="B12" s="17" t="s">
        <v>34</v>
      </c>
      <c r="C12" s="8" t="s">
        <v>35</v>
      </c>
      <c r="D12" s="8" t="s">
        <v>35</v>
      </c>
      <c r="E12" s="8" t="s">
        <v>35</v>
      </c>
    </row>
    <row r="13" spans="1:7" x14ac:dyDescent="0.25">
      <c r="A13" s="164"/>
      <c r="B13" s="18" t="s">
        <v>36</v>
      </c>
      <c r="C13" s="8">
        <v>0.8</v>
      </c>
      <c r="D13" s="8">
        <v>0.95</v>
      </c>
      <c r="E13" s="8">
        <v>0.9</v>
      </c>
    </row>
    <row r="14" spans="1:7" x14ac:dyDescent="0.25">
      <c r="A14" s="164"/>
      <c r="B14" s="17" t="s">
        <v>37</v>
      </c>
      <c r="C14" s="8" t="s">
        <v>38</v>
      </c>
      <c r="D14" s="8" t="s">
        <v>38</v>
      </c>
      <c r="E14" s="8" t="s">
        <v>38</v>
      </c>
    </row>
    <row r="15" spans="1:7" x14ac:dyDescent="0.25">
      <c r="A15" s="164"/>
      <c r="B15" s="18" t="s">
        <v>39</v>
      </c>
      <c r="C15">
        <v>12</v>
      </c>
      <c r="D15">
        <v>12</v>
      </c>
      <c r="E15">
        <v>12</v>
      </c>
    </row>
    <row r="16" spans="1:7" x14ac:dyDescent="0.25">
      <c r="A16" s="164"/>
      <c r="B16" s="19" t="s">
        <v>40</v>
      </c>
      <c r="C16" s="8" t="s">
        <v>222</v>
      </c>
      <c r="D16" s="8" t="s">
        <v>223</v>
      </c>
      <c r="E16" s="8" t="s">
        <v>224</v>
      </c>
    </row>
    <row r="17" spans="1:7" x14ac:dyDescent="0.25">
      <c r="A17" s="164"/>
      <c r="B17" s="20" t="s">
        <v>44</v>
      </c>
      <c r="C17" t="s">
        <v>45</v>
      </c>
      <c r="D17" t="s">
        <v>45</v>
      </c>
      <c r="E17" t="s">
        <v>45</v>
      </c>
    </row>
    <row r="18" spans="1:7" x14ac:dyDescent="0.25">
      <c r="A18" s="164"/>
      <c r="B18" s="20" t="s">
        <v>46</v>
      </c>
      <c r="C18" s="9">
        <v>96</v>
      </c>
      <c r="D18" s="9">
        <v>96</v>
      </c>
      <c r="E18" s="9">
        <v>96</v>
      </c>
    </row>
    <row r="19" spans="1:7" x14ac:dyDescent="0.25">
      <c r="A19" s="164"/>
      <c r="B19" s="20" t="s">
        <v>47</v>
      </c>
      <c r="C19">
        <v>165</v>
      </c>
      <c r="D19">
        <v>165</v>
      </c>
      <c r="E19">
        <v>165</v>
      </c>
    </row>
    <row r="20" spans="1:7" x14ac:dyDescent="0.25">
      <c r="A20" s="164"/>
      <c r="B20" s="21" t="s">
        <v>48</v>
      </c>
      <c r="C20" s="8">
        <v>3.7023800000000003E-2</v>
      </c>
      <c r="D20" s="8">
        <v>3.6993999999999999E-2</v>
      </c>
      <c r="E20" s="8">
        <v>3.6892899999999999E-2</v>
      </c>
      <c r="F20" s="1">
        <f>AVERAGE(C20:E20)</f>
        <v>3.6970233333333331E-2</v>
      </c>
      <c r="G20" s="2">
        <f>_xlfn.STDEV.P(C20:E20)</f>
        <v>5.6019897258822254E-5</v>
      </c>
    </row>
    <row r="21" spans="1:7" x14ac:dyDescent="0.25">
      <c r="A21" s="164"/>
      <c r="B21" s="21" t="s">
        <v>49</v>
      </c>
      <c r="C21" s="8">
        <v>74</v>
      </c>
      <c r="D21" s="8">
        <v>74</v>
      </c>
      <c r="E21" s="8">
        <v>75</v>
      </c>
      <c r="F21" s="1">
        <f t="shared" ref="F21:F84" si="0">AVERAGE(C21:E21)</f>
        <v>74.333333333333329</v>
      </c>
      <c r="G21" s="2">
        <f t="shared" ref="G21:G84" si="1">_xlfn.STDEV.P(C21:E21)</f>
        <v>0.47140452079103168</v>
      </c>
    </row>
    <row r="22" spans="1:7" x14ac:dyDescent="0.25">
      <c r="A22" s="164"/>
      <c r="B22" s="20" t="s">
        <v>50</v>
      </c>
      <c r="C22" s="8">
        <v>5.5700000000000003E-3</v>
      </c>
      <c r="D22" s="8">
        <v>5.5700000000000003E-3</v>
      </c>
      <c r="E22" s="8">
        <v>5.5700000000000003E-3</v>
      </c>
      <c r="F22" s="1">
        <f t="shared" si="0"/>
        <v>5.5700000000000012E-3</v>
      </c>
      <c r="G22" s="2">
        <f t="shared" si="1"/>
        <v>8.6736173798840355E-19</v>
      </c>
    </row>
    <row r="23" spans="1:7" x14ac:dyDescent="0.25">
      <c r="A23" s="164"/>
      <c r="B23" s="20" t="s">
        <v>51</v>
      </c>
      <c r="C23" s="10">
        <v>13</v>
      </c>
      <c r="D23" s="10">
        <v>13</v>
      </c>
      <c r="E23" s="10">
        <v>13</v>
      </c>
      <c r="F23" s="1">
        <f t="shared" si="0"/>
        <v>13</v>
      </c>
      <c r="G23" s="2">
        <f t="shared" si="1"/>
        <v>0</v>
      </c>
    </row>
    <row r="24" spans="1:7" x14ac:dyDescent="0.25">
      <c r="A24" s="164"/>
      <c r="B24" s="20" t="s">
        <v>52</v>
      </c>
      <c r="C24">
        <v>1.7194640000000001</v>
      </c>
      <c r="D24">
        <v>1.7194640000000001</v>
      </c>
      <c r="E24">
        <v>1.7194640000000001</v>
      </c>
      <c r="F24" s="1">
        <f t="shared" si="0"/>
        <v>1.7194640000000001</v>
      </c>
      <c r="G24" s="2">
        <f t="shared" si="1"/>
        <v>0</v>
      </c>
    </row>
    <row r="25" spans="1:7" x14ac:dyDescent="0.25">
      <c r="A25" s="164"/>
      <c r="B25" s="20" t="s">
        <v>53</v>
      </c>
      <c r="C25">
        <v>4.4580000000000002</v>
      </c>
      <c r="D25">
        <v>4.4580000000000002</v>
      </c>
      <c r="E25">
        <v>4.4580000000000002</v>
      </c>
      <c r="F25" s="1">
        <f t="shared" si="0"/>
        <v>4.4580000000000002</v>
      </c>
      <c r="G25" s="2">
        <f t="shared" si="1"/>
        <v>0</v>
      </c>
    </row>
    <row r="26" spans="1:7" x14ac:dyDescent="0.25">
      <c r="A26" s="164"/>
      <c r="B26" s="22" t="s">
        <v>54</v>
      </c>
      <c r="C26" s="11">
        <f>C20-C22</f>
        <v>3.1453800000000004E-2</v>
      </c>
      <c r="D26" s="11">
        <f>D20-D22</f>
        <v>3.1424000000000001E-2</v>
      </c>
      <c r="E26" s="11">
        <f>E20-E22</f>
        <v>3.1322900000000001E-2</v>
      </c>
      <c r="F26" s="1">
        <f t="shared" si="0"/>
        <v>3.140023333333334E-2</v>
      </c>
      <c r="G26" s="2">
        <f t="shared" si="1"/>
        <v>5.6019897258822254E-5</v>
      </c>
    </row>
    <row r="27" spans="1:7" x14ac:dyDescent="0.25">
      <c r="A27" s="164"/>
      <c r="B27" s="23" t="s">
        <v>55</v>
      </c>
      <c r="C27" s="12">
        <f>C26*C18/100*C19</f>
        <v>4.982281920000001</v>
      </c>
      <c r="D27" s="12">
        <f>D26*D18/100*D19</f>
        <v>4.9775615999999996</v>
      </c>
      <c r="E27" s="12">
        <f>E26*E18/100*E19</f>
        <v>4.96154736</v>
      </c>
      <c r="F27" s="1">
        <f t="shared" si="0"/>
        <v>4.9737969600000005</v>
      </c>
      <c r="G27" s="2">
        <f t="shared" si="1"/>
        <v>8.8735517257975734E-3</v>
      </c>
    </row>
    <row r="28" spans="1:7" x14ac:dyDescent="0.25">
      <c r="A28" s="164"/>
      <c r="B28" s="23" t="s">
        <v>56</v>
      </c>
      <c r="C28" s="12">
        <f>C27/C24</f>
        <v>2.8975785012073536</v>
      </c>
      <c r="D28" s="12">
        <f>D27/D24</f>
        <v>2.8948332736248035</v>
      </c>
      <c r="E28" s="12">
        <f>E27/E24</f>
        <v>2.8855197666249479</v>
      </c>
      <c r="F28" s="1">
        <f t="shared" si="0"/>
        <v>2.8926438471523688</v>
      </c>
      <c r="G28" s="2">
        <f t="shared" si="1"/>
        <v>5.1606499035732958E-3</v>
      </c>
    </row>
    <row r="29" spans="1:7" x14ac:dyDescent="0.25">
      <c r="A29" s="164"/>
      <c r="B29" s="22" t="s">
        <v>57</v>
      </c>
      <c r="C29" s="13">
        <f>C21-C23</f>
        <v>61</v>
      </c>
      <c r="D29" s="13">
        <f>D21-D23</f>
        <v>61</v>
      </c>
      <c r="E29" s="13">
        <f>E21-E23</f>
        <v>62</v>
      </c>
      <c r="F29" s="1">
        <f t="shared" si="0"/>
        <v>61.333333333333336</v>
      </c>
      <c r="G29" s="2">
        <f t="shared" si="1"/>
        <v>0.47140452079103168</v>
      </c>
    </row>
    <row r="30" spans="1:7" x14ac:dyDescent="0.25">
      <c r="A30" s="164"/>
      <c r="B30" s="22" t="s">
        <v>58</v>
      </c>
      <c r="C30" s="13">
        <f>C26/(C24/10^4)</f>
        <v>182.92793568228242</v>
      </c>
      <c r="D30" s="13">
        <f>D26/(D24/10^4)</f>
        <v>182.75462586015178</v>
      </c>
      <c r="E30" s="13">
        <f>E26/(E24/10^4)</f>
        <v>182.16665193339321</v>
      </c>
      <c r="F30" s="1">
        <f t="shared" si="0"/>
        <v>182.61640449194246</v>
      </c>
      <c r="G30" s="2">
        <f t="shared" si="1"/>
        <v>0.32579860502355623</v>
      </c>
    </row>
    <row r="31" spans="1:7" x14ac:dyDescent="0.25">
      <c r="A31" s="164"/>
      <c r="B31" s="22" t="s">
        <v>59</v>
      </c>
      <c r="C31" s="13">
        <f>C26/C24/(C29/10^4)</f>
        <v>2.9988186177423342</v>
      </c>
      <c r="D31" s="13">
        <f>D26/D24/(D29/10^4)</f>
        <v>2.9959774731172417</v>
      </c>
      <c r="E31" s="13">
        <f>E26/E24/(E29/10^4)</f>
        <v>2.9381718053773098</v>
      </c>
      <c r="F31" s="1">
        <f t="shared" si="0"/>
        <v>2.9776559654122949</v>
      </c>
      <c r="G31" s="2">
        <f t="shared" si="1"/>
        <v>2.7943600292332019E-2</v>
      </c>
    </row>
    <row r="32" spans="1:7" x14ac:dyDescent="0.25">
      <c r="A32" s="164"/>
      <c r="B32" s="22" t="s">
        <v>60</v>
      </c>
      <c r="C32" s="13">
        <f>(1-C31/C25)*100</f>
        <v>32.731749265537587</v>
      </c>
      <c r="D32" s="13">
        <f>(1-D31/D25)*100</f>
        <v>32.795480638913375</v>
      </c>
      <c r="E32" s="13">
        <f>(1-E31/E25)*100</f>
        <v>34.092153311410733</v>
      </c>
      <c r="F32" s="1">
        <f t="shared" si="0"/>
        <v>33.206461071953896</v>
      </c>
      <c r="G32" s="2">
        <f t="shared" si="1"/>
        <v>0.62681920799309609</v>
      </c>
    </row>
    <row r="33" spans="1:7" x14ac:dyDescent="0.25">
      <c r="A33" s="164"/>
      <c r="B33" s="24" t="s">
        <v>61</v>
      </c>
      <c r="C33" s="14">
        <f>(C26*C18)/100</f>
        <v>3.0195648000000005E-2</v>
      </c>
      <c r="D33" s="14">
        <f>(D26*D18)/100</f>
        <v>3.0167039999999999E-2</v>
      </c>
      <c r="E33" s="14">
        <f>(E26*E18)/100</f>
        <v>3.0069984000000001E-2</v>
      </c>
      <c r="F33" s="1">
        <f t="shared" si="0"/>
        <v>3.0144224000000001E-2</v>
      </c>
      <c r="G33" s="2">
        <f t="shared" si="1"/>
        <v>5.3779101368469575E-5</v>
      </c>
    </row>
    <row r="34" spans="1:7" x14ac:dyDescent="0.25">
      <c r="A34" s="164"/>
      <c r="B34" s="25"/>
    </row>
    <row r="35" spans="1:7" ht="30" x14ac:dyDescent="0.25">
      <c r="A35" s="164"/>
      <c r="B35" s="26" t="s">
        <v>62</v>
      </c>
      <c r="C35" s="15" t="s">
        <v>63</v>
      </c>
      <c r="D35" s="15" t="s">
        <v>63</v>
      </c>
      <c r="E35" s="15" t="s">
        <v>63</v>
      </c>
    </row>
    <row r="36" spans="1:7" x14ac:dyDescent="0.25">
      <c r="A36" s="164"/>
      <c r="B36" s="18" t="s">
        <v>64</v>
      </c>
      <c r="C36" t="s">
        <v>122</v>
      </c>
      <c r="D36" t="s">
        <v>122</v>
      </c>
      <c r="E36" t="s">
        <v>122</v>
      </c>
    </row>
    <row r="37" spans="1:7" x14ac:dyDescent="0.25">
      <c r="A37" s="164"/>
      <c r="B37" s="18" t="s">
        <v>67</v>
      </c>
      <c r="C37" t="s">
        <v>225</v>
      </c>
      <c r="D37" t="s">
        <v>133</v>
      </c>
      <c r="E37" t="s">
        <v>186</v>
      </c>
    </row>
    <row r="38" spans="1:7" x14ac:dyDescent="0.25">
      <c r="A38" s="164"/>
      <c r="B38" s="25" t="s">
        <v>71</v>
      </c>
      <c r="C38">
        <v>3.3050000000000002</v>
      </c>
      <c r="D38">
        <v>3.3159999999999998</v>
      </c>
      <c r="E38">
        <v>3.3140000000000001</v>
      </c>
    </row>
    <row r="39" spans="1:7" x14ac:dyDescent="0.25">
      <c r="A39" s="46"/>
    </row>
    <row r="41" spans="1:7" ht="15.75" thickTop="1" x14ac:dyDescent="0.25">
      <c r="A41" s="165" t="s">
        <v>72</v>
      </c>
      <c r="B41" s="28" t="s">
        <v>73</v>
      </c>
      <c r="C41" s="75">
        <v>5.5265699499999998</v>
      </c>
      <c r="D41" s="76">
        <v>5.4909113999999999</v>
      </c>
      <c r="E41" s="109">
        <v>5.4820833499999999</v>
      </c>
      <c r="F41" s="1">
        <f t="shared" si="0"/>
        <v>5.4998548999999999</v>
      </c>
      <c r="G41" s="2">
        <f t="shared" si="1"/>
        <v>1.923112128950534E-2</v>
      </c>
    </row>
    <row r="42" spans="1:7" x14ac:dyDescent="0.25">
      <c r="A42" s="166"/>
      <c r="B42" s="29" t="s">
        <v>74</v>
      </c>
      <c r="C42" s="78">
        <v>5.2935931700000003</v>
      </c>
      <c r="D42" s="79">
        <v>5.0429192599999997</v>
      </c>
      <c r="E42" s="110">
        <v>5.0224692500000003</v>
      </c>
      <c r="F42" s="1">
        <f t="shared" si="0"/>
        <v>5.1196605599999998</v>
      </c>
      <c r="G42" s="2">
        <f t="shared" si="1"/>
        <v>0.12327196313655198</v>
      </c>
    </row>
    <row r="43" spans="1:7" x14ac:dyDescent="0.25">
      <c r="A43" s="166"/>
      <c r="B43" s="29" t="s">
        <v>75</v>
      </c>
      <c r="C43" s="78">
        <v>4.8091285499999996</v>
      </c>
      <c r="D43" s="79">
        <v>4.79942723</v>
      </c>
      <c r="E43" s="110">
        <v>4.78070489</v>
      </c>
      <c r="F43" s="1">
        <f t="shared" si="0"/>
        <v>4.7964202233333326</v>
      </c>
      <c r="G43" s="2">
        <f t="shared" si="1"/>
        <v>1.1797109215649084E-2</v>
      </c>
    </row>
    <row r="44" spans="1:7" x14ac:dyDescent="0.25">
      <c r="A44" s="166"/>
      <c r="B44" s="29" t="s">
        <v>76</v>
      </c>
      <c r="C44" s="78">
        <v>4.83301946</v>
      </c>
      <c r="D44" s="79">
        <v>4.8237671600000001</v>
      </c>
      <c r="E44" s="110">
        <v>4.8047686799999996</v>
      </c>
      <c r="F44" s="1">
        <f t="shared" si="0"/>
        <v>4.8205184333333335</v>
      </c>
      <c r="G44" s="2">
        <f t="shared" si="1"/>
        <v>1.1759884108503248E-2</v>
      </c>
    </row>
    <row r="45" spans="1:7" x14ac:dyDescent="0.25">
      <c r="A45" s="166"/>
      <c r="B45" s="29" t="s">
        <v>77</v>
      </c>
      <c r="C45" s="78">
        <v>4.84933383</v>
      </c>
      <c r="D45" s="79">
        <v>4.8405100499999998</v>
      </c>
      <c r="E45" s="110">
        <v>4.8227356500000003</v>
      </c>
      <c r="F45" s="1">
        <f t="shared" si="0"/>
        <v>4.83752651</v>
      </c>
      <c r="G45" s="2">
        <f t="shared" si="1"/>
        <v>1.1061703546524679E-2</v>
      </c>
    </row>
    <row r="46" spans="1:7" x14ac:dyDescent="0.25">
      <c r="A46" s="166"/>
      <c r="B46" s="29" t="s">
        <v>78</v>
      </c>
      <c r="C46" s="78">
        <v>4.8629262200000003</v>
      </c>
      <c r="D46" s="79">
        <v>4.85488053</v>
      </c>
      <c r="E46" s="110">
        <v>4.8370587900000004</v>
      </c>
      <c r="F46" s="1">
        <f t="shared" si="0"/>
        <v>4.8516218466666672</v>
      </c>
      <c r="G46" s="2">
        <f t="shared" si="1"/>
        <v>1.0808800318920104E-2</v>
      </c>
    </row>
    <row r="47" spans="1:7" x14ac:dyDescent="0.25">
      <c r="A47" s="166"/>
      <c r="B47" s="29" t="s">
        <v>79</v>
      </c>
      <c r="C47" s="78">
        <v>4.8929384999999996</v>
      </c>
      <c r="D47" s="79">
        <v>4.8853354700000002</v>
      </c>
      <c r="E47" s="110">
        <v>4.8678040400000002</v>
      </c>
      <c r="F47" s="1">
        <f t="shared" si="0"/>
        <v>4.8820260033333334</v>
      </c>
      <c r="G47" s="2">
        <f t="shared" si="1"/>
        <v>1.0524564823504643E-2</v>
      </c>
    </row>
    <row r="48" spans="1:7" x14ac:dyDescent="0.25">
      <c r="A48" s="166"/>
      <c r="B48" s="29" t="s">
        <v>80</v>
      </c>
      <c r="C48" s="78">
        <v>4.8873009999999999</v>
      </c>
      <c r="D48" s="79">
        <v>4.8795005800000002</v>
      </c>
      <c r="E48" s="110">
        <v>4.8628418900000003</v>
      </c>
      <c r="F48" s="1">
        <f t="shared" si="0"/>
        <v>4.8765478233333335</v>
      </c>
      <c r="G48" s="2">
        <f t="shared" si="1"/>
        <v>1.0201342867401599E-2</v>
      </c>
    </row>
    <row r="49" spans="1:7" x14ac:dyDescent="0.25">
      <c r="A49" s="166"/>
      <c r="B49" s="29" t="s">
        <v>80</v>
      </c>
      <c r="C49" s="78">
        <v>4.6819386500000002</v>
      </c>
      <c r="D49" s="79">
        <v>4.6746133199999997</v>
      </c>
      <c r="E49" s="110">
        <v>4.6583946699999998</v>
      </c>
      <c r="F49" s="1">
        <f t="shared" si="0"/>
        <v>4.6716488800000002</v>
      </c>
      <c r="G49" s="2">
        <f t="shared" si="1"/>
        <v>9.8377055910851934E-3</v>
      </c>
    </row>
    <row r="50" spans="1:7" x14ac:dyDescent="0.25">
      <c r="A50" s="166"/>
      <c r="B50" s="29" t="s">
        <v>80</v>
      </c>
      <c r="C50" s="78">
        <v>4.4917788400000003</v>
      </c>
      <c r="D50" s="79">
        <v>4.4826270800000003</v>
      </c>
      <c r="E50" s="110">
        <v>4.4589891499999998</v>
      </c>
      <c r="F50" s="1">
        <f t="shared" si="0"/>
        <v>4.4777983566666668</v>
      </c>
      <c r="G50" s="2">
        <f t="shared" si="1"/>
        <v>1.3814928383128196E-2</v>
      </c>
    </row>
    <row r="51" spans="1:7" x14ac:dyDescent="0.25">
      <c r="A51" s="166"/>
      <c r="B51" s="29" t="s">
        <v>80</v>
      </c>
      <c r="C51" s="78">
        <v>3.9984737799999999</v>
      </c>
      <c r="D51" s="79">
        <v>3.9886762500000001</v>
      </c>
      <c r="E51" s="110">
        <v>3.97525599</v>
      </c>
      <c r="F51" s="1">
        <f t="shared" si="0"/>
        <v>3.9874686733333333</v>
      </c>
      <c r="G51" s="2">
        <f t="shared" si="1"/>
        <v>9.5170066784128621E-3</v>
      </c>
    </row>
    <row r="52" spans="1:7" ht="15.75" thickBot="1" x14ac:dyDescent="0.3">
      <c r="A52" s="167"/>
      <c r="B52" s="30" t="s">
        <v>80</v>
      </c>
      <c r="C52" s="81">
        <v>1.9275626800000001</v>
      </c>
      <c r="D52" s="82">
        <v>1.93316216</v>
      </c>
      <c r="E52" s="111">
        <v>2.32147748</v>
      </c>
      <c r="F52" s="1">
        <f t="shared" si="0"/>
        <v>2.0607341066666667</v>
      </c>
      <c r="G52" s="2">
        <f t="shared" si="1"/>
        <v>0.18438757839037878</v>
      </c>
    </row>
    <row r="53" spans="1:7" ht="15.75" thickTop="1" x14ac:dyDescent="0.25">
      <c r="A53" s="165" t="s">
        <v>81</v>
      </c>
      <c r="B53" s="28" t="s">
        <v>73</v>
      </c>
      <c r="C53" s="78">
        <v>5.0253284300000001</v>
      </c>
      <c r="D53" s="79">
        <v>5.0088066500000004</v>
      </c>
      <c r="E53" s="110">
        <v>4.9951436300000003</v>
      </c>
      <c r="F53" s="1">
        <f t="shared" si="0"/>
        <v>5.0097595699999999</v>
      </c>
      <c r="G53" s="2">
        <f t="shared" si="1"/>
        <v>1.2341301394228964E-2</v>
      </c>
    </row>
    <row r="54" spans="1:7" x14ac:dyDescent="0.25">
      <c r="A54" s="166"/>
      <c r="B54" s="29" t="s">
        <v>74</v>
      </c>
      <c r="C54" s="78">
        <v>4.5804191999999997</v>
      </c>
      <c r="D54" s="79">
        <v>4.7873942100000004</v>
      </c>
      <c r="E54" s="110">
        <v>4.7697548699999999</v>
      </c>
      <c r="F54" s="1">
        <f t="shared" si="0"/>
        <v>4.7125227599999997</v>
      </c>
      <c r="G54" s="2">
        <f t="shared" si="1"/>
        <v>9.3688489162807212E-2</v>
      </c>
    </row>
    <row r="55" spans="1:7" x14ac:dyDescent="0.25">
      <c r="A55" s="166"/>
      <c r="B55" s="29" t="s">
        <v>75</v>
      </c>
      <c r="C55" s="78">
        <v>4.8208252099999997</v>
      </c>
      <c r="D55" s="79">
        <v>4.8120248400000003</v>
      </c>
      <c r="E55" s="110">
        <v>4.7943390099999998</v>
      </c>
      <c r="F55" s="1">
        <f t="shared" si="0"/>
        <v>4.80906302</v>
      </c>
      <c r="G55" s="2">
        <f t="shared" si="1"/>
        <v>1.1013899730016923E-2</v>
      </c>
    </row>
    <row r="56" spans="1:7" x14ac:dyDescent="0.25">
      <c r="A56" s="166"/>
      <c r="B56" s="29" t="s">
        <v>76</v>
      </c>
      <c r="C56" s="78">
        <v>4.8377502899999998</v>
      </c>
      <c r="D56" s="79">
        <v>4.8295241999999998</v>
      </c>
      <c r="E56" s="110">
        <v>4.8131987699999996</v>
      </c>
      <c r="F56" s="1">
        <f t="shared" si="0"/>
        <v>4.8268244200000003</v>
      </c>
      <c r="G56" s="2">
        <f t="shared" si="1"/>
        <v>1.0203296611517355E-2</v>
      </c>
    </row>
    <row r="57" spans="1:7" x14ac:dyDescent="0.25">
      <c r="A57" s="166"/>
      <c r="B57" s="29" t="s">
        <v>77</v>
      </c>
      <c r="C57" s="78">
        <v>4.8515557999999999</v>
      </c>
      <c r="D57" s="79">
        <v>4.8444370399999999</v>
      </c>
      <c r="E57" s="110">
        <v>4.8277479300000001</v>
      </c>
      <c r="F57" s="1">
        <f t="shared" si="0"/>
        <v>4.8412469233333333</v>
      </c>
      <c r="G57" s="2">
        <f t="shared" si="1"/>
        <v>9.9778521985588904E-3</v>
      </c>
    </row>
    <row r="58" spans="1:7" x14ac:dyDescent="0.25">
      <c r="A58" s="166"/>
      <c r="B58" s="29" t="s">
        <v>78</v>
      </c>
      <c r="C58" s="78">
        <v>4.8640876000000004</v>
      </c>
      <c r="D58" s="79">
        <v>4.8574315500000003</v>
      </c>
      <c r="E58" s="110">
        <v>4.8408724999999997</v>
      </c>
      <c r="F58" s="1">
        <f t="shared" si="0"/>
        <v>4.8541305499999998</v>
      </c>
      <c r="G58" s="2">
        <f t="shared" si="1"/>
        <v>9.7607263306412114E-3</v>
      </c>
    </row>
    <row r="59" spans="1:7" x14ac:dyDescent="0.25">
      <c r="A59" s="166"/>
      <c r="B59" s="29" t="s">
        <v>79</v>
      </c>
      <c r="C59" s="78">
        <v>4.8911757900000001</v>
      </c>
      <c r="D59" s="79">
        <v>4.8844304300000001</v>
      </c>
      <c r="E59" s="110">
        <v>4.8691899599999999</v>
      </c>
      <c r="F59" s="1">
        <f t="shared" si="0"/>
        <v>4.8815987266666667</v>
      </c>
      <c r="G59" s="2">
        <f t="shared" si="1"/>
        <v>9.1963067957825991E-3</v>
      </c>
    </row>
    <row r="60" spans="1:7" x14ac:dyDescent="0.25">
      <c r="A60" s="166"/>
      <c r="B60" s="29" t="s">
        <v>82</v>
      </c>
      <c r="C60" s="78">
        <v>4.6705519899999999</v>
      </c>
      <c r="D60" s="79">
        <v>4.6665950699999996</v>
      </c>
      <c r="E60" s="110">
        <v>4.6514968999999997</v>
      </c>
      <c r="F60" s="1">
        <f t="shared" si="0"/>
        <v>4.6628813199999994</v>
      </c>
      <c r="G60" s="2">
        <f t="shared" si="1"/>
        <v>8.2104838681570577E-3</v>
      </c>
    </row>
    <row r="61" spans="1:7" x14ac:dyDescent="0.25">
      <c r="A61" s="166"/>
      <c r="B61" s="29" t="s">
        <v>83</v>
      </c>
      <c r="C61" s="78">
        <v>4.4830905300000001</v>
      </c>
      <c r="D61" s="79">
        <v>4.4759356600000002</v>
      </c>
      <c r="E61" s="110">
        <v>4.4525628900000003</v>
      </c>
      <c r="F61" s="1">
        <f t="shared" si="0"/>
        <v>4.4705296933333329</v>
      </c>
      <c r="G61" s="2">
        <f t="shared" si="1"/>
        <v>1.3035913411117539E-2</v>
      </c>
    </row>
    <row r="62" spans="1:7" x14ac:dyDescent="0.25">
      <c r="A62" s="166"/>
      <c r="B62" s="29" t="s">
        <v>84</v>
      </c>
      <c r="C62" s="78">
        <v>4.1585124799999997</v>
      </c>
      <c r="D62" s="79">
        <v>4.1535824100000003</v>
      </c>
      <c r="E62" s="110">
        <v>4.1241272799999997</v>
      </c>
      <c r="F62" s="1">
        <f t="shared" si="0"/>
        <v>4.1454073899999999</v>
      </c>
      <c r="G62" s="2">
        <f t="shared" si="1"/>
        <v>1.5181319853914866E-2</v>
      </c>
    </row>
    <row r="63" spans="1:7" x14ac:dyDescent="0.25">
      <c r="A63" s="166"/>
      <c r="B63" s="29" t="s">
        <v>85</v>
      </c>
      <c r="C63" s="78">
        <v>1.9224422299999999</v>
      </c>
      <c r="D63" s="79">
        <v>1.9304078099999999</v>
      </c>
      <c r="E63" s="110">
        <v>2.3178943200000002</v>
      </c>
      <c r="F63" s="1">
        <f t="shared" si="0"/>
        <v>2.0569147866666668</v>
      </c>
      <c r="G63" s="2">
        <f t="shared" si="1"/>
        <v>0.18456904801970003</v>
      </c>
    </row>
    <row r="64" spans="1:7" ht="15.75" thickBot="1" x14ac:dyDescent="0.3">
      <c r="A64" s="167"/>
      <c r="B64" s="30" t="s">
        <v>86</v>
      </c>
      <c r="C64" s="81">
        <v>0.48948681999999999</v>
      </c>
      <c r="D64" s="82">
        <v>0.47984282</v>
      </c>
      <c r="E64" s="111">
        <v>0.58574652000000005</v>
      </c>
      <c r="F64" s="1">
        <f t="shared" si="0"/>
        <v>0.51835872000000005</v>
      </c>
      <c r="G64" s="2">
        <f t="shared" si="1"/>
        <v>4.7812748478692046E-2</v>
      </c>
    </row>
    <row r="65" spans="1:7" ht="15.75" thickTop="1" x14ac:dyDescent="0.25">
      <c r="A65" s="165" t="s">
        <v>87</v>
      </c>
      <c r="B65" s="31">
        <v>0.9</v>
      </c>
      <c r="C65" s="84">
        <v>19.544567399999998</v>
      </c>
      <c r="D65" s="85">
        <v>19.232474700000001</v>
      </c>
      <c r="E65" s="112">
        <v>19.347891300000001</v>
      </c>
      <c r="F65" s="1">
        <f t="shared" si="0"/>
        <v>19.3749778</v>
      </c>
      <c r="G65" s="2">
        <f t="shared" si="1"/>
        <v>0.12884285573263154</v>
      </c>
    </row>
    <row r="66" spans="1:7" x14ac:dyDescent="0.25">
      <c r="A66" s="166"/>
      <c r="B66" s="32">
        <v>0.8</v>
      </c>
      <c r="C66" s="87">
        <v>20.651494799999998</v>
      </c>
      <c r="D66" s="88">
        <v>20.622876699999999</v>
      </c>
      <c r="E66" s="113">
        <v>20.089128299999999</v>
      </c>
      <c r="F66" s="1">
        <f t="shared" si="0"/>
        <v>20.454499933333334</v>
      </c>
      <c r="G66" s="2">
        <f t="shared" si="1"/>
        <v>0.25862079285497436</v>
      </c>
    </row>
    <row r="67" spans="1:7" x14ac:dyDescent="0.25">
      <c r="A67" s="166"/>
      <c r="B67" s="32">
        <v>0.7</v>
      </c>
      <c r="C67" s="78">
        <v>22.244413099999999</v>
      </c>
      <c r="D67" s="79">
        <v>22.4664948</v>
      </c>
      <c r="E67" s="114">
        <v>21.132458</v>
      </c>
      <c r="F67" s="1">
        <f t="shared" si="0"/>
        <v>21.947788633333332</v>
      </c>
      <c r="G67" s="2">
        <f t="shared" si="1"/>
        <v>0.5836112299625057</v>
      </c>
    </row>
    <row r="68" spans="1:7" x14ac:dyDescent="0.25">
      <c r="A68" s="166"/>
      <c r="B68" s="32">
        <v>0.6</v>
      </c>
      <c r="C68" s="78">
        <v>25.302621299999998</v>
      </c>
      <c r="D68" s="79">
        <v>26.2616288</v>
      </c>
      <c r="E68" s="114">
        <v>23.2297814</v>
      </c>
      <c r="F68" s="1">
        <f t="shared" si="0"/>
        <v>24.931343833333329</v>
      </c>
      <c r="G68" s="2">
        <f t="shared" si="1"/>
        <v>1.265282546090662</v>
      </c>
    </row>
    <row r="69" spans="1:7" x14ac:dyDescent="0.25">
      <c r="A69" s="166"/>
      <c r="B69" s="32">
        <v>0.5</v>
      </c>
      <c r="C69" s="78">
        <v>33.426453500000001</v>
      </c>
      <c r="D69" s="79">
        <v>35.709888399999997</v>
      </c>
      <c r="E69" s="114">
        <v>27.553498099999999</v>
      </c>
      <c r="F69" s="1">
        <f t="shared" si="0"/>
        <v>32.229946666666663</v>
      </c>
      <c r="G69" s="2">
        <f t="shared" si="1"/>
        <v>3.4356364896133083</v>
      </c>
    </row>
    <row r="70" spans="1:7" x14ac:dyDescent="0.25">
      <c r="A70" s="166"/>
      <c r="B70" s="32">
        <v>0.4</v>
      </c>
      <c r="C70" s="78">
        <v>53.718707199999997</v>
      </c>
      <c r="D70" s="79">
        <v>62.013014499999997</v>
      </c>
      <c r="E70" s="114">
        <v>40.768081500000001</v>
      </c>
      <c r="F70" s="1">
        <f t="shared" si="0"/>
        <v>52.166601066666665</v>
      </c>
      <c r="G70" s="2">
        <f t="shared" si="1"/>
        <v>8.7423707551392127</v>
      </c>
    </row>
    <row r="71" spans="1:7" x14ac:dyDescent="0.25">
      <c r="A71" s="166"/>
      <c r="B71" s="32">
        <v>0.3</v>
      </c>
      <c r="C71" s="78">
        <v>62.681226600000002</v>
      </c>
      <c r="D71" s="79">
        <v>65.0204272</v>
      </c>
      <c r="E71" s="114">
        <v>63.344540700000003</v>
      </c>
      <c r="F71" s="1">
        <f t="shared" si="0"/>
        <v>63.682064833333335</v>
      </c>
      <c r="G71" s="2">
        <f t="shared" si="1"/>
        <v>0.98434640487885861</v>
      </c>
    </row>
    <row r="72" spans="1:7" x14ac:dyDescent="0.25">
      <c r="A72" s="166"/>
      <c r="B72" s="32">
        <v>0.2</v>
      </c>
      <c r="C72" s="78">
        <v>64.190482599999996</v>
      </c>
      <c r="D72" s="79">
        <v>66.257224899999997</v>
      </c>
      <c r="E72" s="114">
        <v>63.673392900000003</v>
      </c>
      <c r="F72" s="1">
        <f t="shared" si="0"/>
        <v>64.707033466666658</v>
      </c>
      <c r="G72" s="2">
        <f t="shared" si="1"/>
        <v>1.1162931363659392</v>
      </c>
    </row>
    <row r="73" spans="1:7" x14ac:dyDescent="0.25">
      <c r="A73" s="166"/>
      <c r="B73" s="32">
        <v>0.1</v>
      </c>
      <c r="C73" s="78">
        <v>69.079755599999999</v>
      </c>
      <c r="D73" s="79">
        <v>70.968646000000007</v>
      </c>
      <c r="E73" s="114">
        <v>68.163895199999999</v>
      </c>
      <c r="F73" s="1">
        <f t="shared" si="0"/>
        <v>69.40409893333333</v>
      </c>
      <c r="G73" s="2">
        <f t="shared" si="1"/>
        <v>1.1677772935320347</v>
      </c>
    </row>
    <row r="74" spans="1:7" x14ac:dyDescent="0.25">
      <c r="A74" s="166"/>
      <c r="B74" s="32">
        <v>0.5</v>
      </c>
      <c r="C74" s="78">
        <v>18.5978627</v>
      </c>
      <c r="D74" s="79">
        <v>17.327226499999998</v>
      </c>
      <c r="E74" s="114">
        <v>17.596801599999999</v>
      </c>
      <c r="F74" s="1">
        <f t="shared" si="0"/>
        <v>17.840630266666668</v>
      </c>
      <c r="G74" s="2">
        <f t="shared" si="1"/>
        <v>0.54663723632402061</v>
      </c>
    </row>
    <row r="75" spans="1:7" ht="15.75" thickBot="1" x14ac:dyDescent="0.3">
      <c r="A75" s="167"/>
      <c r="B75" s="33">
        <v>0.2</v>
      </c>
      <c r="C75" s="81">
        <v>54.872508199999999</v>
      </c>
      <c r="D75" s="82">
        <v>55.227872900000001</v>
      </c>
      <c r="E75" s="115">
        <v>42.874882800000002</v>
      </c>
      <c r="F75" s="1">
        <f t="shared" si="0"/>
        <v>50.991754633333329</v>
      </c>
      <c r="G75" s="2">
        <f t="shared" si="1"/>
        <v>5.7413283762890384</v>
      </c>
    </row>
    <row r="76" spans="1:7" ht="15.75" thickTop="1" x14ac:dyDescent="0.25">
      <c r="A76" s="165" t="s">
        <v>88</v>
      </c>
      <c r="B76" s="31">
        <v>0.9</v>
      </c>
      <c r="C76" s="78">
        <v>19.8941582</v>
      </c>
      <c r="D76" s="79">
        <v>19.718651300000001</v>
      </c>
      <c r="E76" s="114">
        <v>19.765722100000001</v>
      </c>
      <c r="F76" s="1">
        <f t="shared" si="0"/>
        <v>19.792843866666669</v>
      </c>
      <c r="G76" s="2">
        <f t="shared" si="1"/>
        <v>7.4172594477309797E-2</v>
      </c>
    </row>
    <row r="77" spans="1:7" x14ac:dyDescent="0.25">
      <c r="A77" s="166"/>
      <c r="B77" s="32">
        <v>0.8</v>
      </c>
      <c r="C77" s="78">
        <v>21.149027400000001</v>
      </c>
      <c r="D77" s="79">
        <v>21.151914300000001</v>
      </c>
      <c r="E77" s="114">
        <v>20.500049700000002</v>
      </c>
      <c r="F77" s="1">
        <f t="shared" si="0"/>
        <v>20.933663800000001</v>
      </c>
      <c r="G77" s="2">
        <f t="shared" si="1"/>
        <v>0.30661373565341116</v>
      </c>
    </row>
    <row r="78" spans="1:7" x14ac:dyDescent="0.25">
      <c r="A78" s="166"/>
      <c r="B78" s="32">
        <v>0.7</v>
      </c>
      <c r="C78" s="78">
        <v>22.833028599999999</v>
      </c>
      <c r="D78" s="79">
        <v>23.1646365</v>
      </c>
      <c r="E78" s="114">
        <v>21.597279700000001</v>
      </c>
      <c r="F78" s="1">
        <f t="shared" si="0"/>
        <v>22.531648266666668</v>
      </c>
      <c r="G78" s="2">
        <f t="shared" si="1"/>
        <v>0.67442539178011474</v>
      </c>
    </row>
    <row r="79" spans="1:7" x14ac:dyDescent="0.25">
      <c r="A79" s="166"/>
      <c r="B79" s="32">
        <v>0.6</v>
      </c>
      <c r="C79" s="78">
        <v>26.022462099999998</v>
      </c>
      <c r="D79" s="79">
        <v>27.240020999999999</v>
      </c>
      <c r="E79" s="114">
        <v>23.653402</v>
      </c>
      <c r="F79" s="1">
        <f t="shared" si="0"/>
        <v>25.638628366666666</v>
      </c>
      <c r="G79" s="2">
        <f t="shared" si="1"/>
        <v>1.4891731965364094</v>
      </c>
    </row>
    <row r="80" spans="1:7" x14ac:dyDescent="0.25">
      <c r="A80" s="166"/>
      <c r="B80" s="32">
        <v>0.5</v>
      </c>
      <c r="C80" s="78">
        <v>34.147143399999997</v>
      </c>
      <c r="D80" s="79">
        <v>36.693371999999997</v>
      </c>
      <c r="E80" s="114">
        <v>28.129024900000001</v>
      </c>
      <c r="F80" s="1">
        <f t="shared" si="0"/>
        <v>32.989846766666666</v>
      </c>
      <c r="G80" s="2">
        <f t="shared" si="1"/>
        <v>3.5908691552754961</v>
      </c>
    </row>
    <row r="81" spans="1:7" x14ac:dyDescent="0.25">
      <c r="A81" s="166"/>
      <c r="B81" s="32">
        <v>0.4</v>
      </c>
      <c r="C81" s="78">
        <v>51.239966099999997</v>
      </c>
      <c r="D81" s="79">
        <v>56.136741800000003</v>
      </c>
      <c r="E81" s="114">
        <v>40.840986200000003</v>
      </c>
      <c r="F81" s="1">
        <f t="shared" si="0"/>
        <v>49.405898033333337</v>
      </c>
      <c r="G81" s="2">
        <f t="shared" si="1"/>
        <v>6.377715844961342</v>
      </c>
    </row>
    <row r="82" spans="1:7" x14ac:dyDescent="0.25">
      <c r="A82" s="166"/>
      <c r="B82" s="32">
        <v>0.3</v>
      </c>
      <c r="C82" s="78">
        <v>57.723813</v>
      </c>
      <c r="D82" s="79">
        <v>58.058076399999997</v>
      </c>
      <c r="E82" s="114">
        <v>57.395602400000001</v>
      </c>
      <c r="F82" s="1">
        <f t="shared" si="0"/>
        <v>57.725830599999995</v>
      </c>
      <c r="G82" s="2">
        <f t="shared" si="1"/>
        <v>0.27045764080082074</v>
      </c>
    </row>
    <row r="83" spans="1:7" x14ac:dyDescent="0.25">
      <c r="A83" s="166"/>
      <c r="B83" s="32">
        <v>0.2</v>
      </c>
      <c r="C83" s="78">
        <v>61.401387800000002</v>
      </c>
      <c r="D83" s="79">
        <v>61.100617499999998</v>
      </c>
      <c r="E83" s="114">
        <v>59.472317400000001</v>
      </c>
      <c r="F83" s="1">
        <f t="shared" si="0"/>
        <v>60.658107566666672</v>
      </c>
      <c r="G83" s="2">
        <f t="shared" si="1"/>
        <v>0.84742332312449464</v>
      </c>
    </row>
    <row r="84" spans="1:7" x14ac:dyDescent="0.25">
      <c r="A84" s="166"/>
      <c r="B84" s="32">
        <v>0.1</v>
      </c>
      <c r="C84" s="78">
        <v>109.945286</v>
      </c>
      <c r="D84" s="79">
        <v>104.89666</v>
      </c>
      <c r="E84" s="114">
        <v>102.204427</v>
      </c>
      <c r="F84" s="1">
        <f t="shared" si="0"/>
        <v>105.68212433333333</v>
      </c>
      <c r="G84" s="2">
        <f t="shared" si="1"/>
        <v>3.2086279704025449</v>
      </c>
    </row>
    <row r="85" spans="1:7" x14ac:dyDescent="0.25">
      <c r="A85" s="166"/>
      <c r="B85" s="32">
        <v>0.5</v>
      </c>
      <c r="C85" s="78">
        <v>18.923186900000001</v>
      </c>
      <c r="D85" s="79">
        <v>17.547288900000002</v>
      </c>
      <c r="E85" s="114">
        <v>17.724599300000001</v>
      </c>
      <c r="F85" s="1">
        <f t="shared" ref="F85:F146" si="2">AVERAGE(C85:E85)</f>
        <v>18.065025033333335</v>
      </c>
      <c r="G85" s="2">
        <f t="shared" ref="G85:G146" si="3">_xlfn.STDEV.P(C85:E85)</f>
        <v>0.61111433002216153</v>
      </c>
    </row>
    <row r="86" spans="1:7" ht="15.75" thickBot="1" x14ac:dyDescent="0.3">
      <c r="A86" s="167"/>
      <c r="B86" s="33">
        <v>0.2</v>
      </c>
      <c r="C86" s="81">
        <v>64.5462998</v>
      </c>
      <c r="D86" s="82">
        <v>63.569402799999999</v>
      </c>
      <c r="E86" s="115">
        <v>48.667250699999997</v>
      </c>
      <c r="F86" s="1">
        <f t="shared" si="2"/>
        <v>58.927651099999991</v>
      </c>
      <c r="G86" s="2">
        <f t="shared" si="3"/>
        <v>7.2661518569961903</v>
      </c>
    </row>
    <row r="87" spans="1:7" ht="16.5" thickTop="1" thickBot="1" x14ac:dyDescent="0.3">
      <c r="A87" s="34"/>
      <c r="B87" s="35"/>
    </row>
    <row r="88" spans="1:7" ht="15.75" thickBot="1" x14ac:dyDescent="0.3">
      <c r="A88" s="36"/>
      <c r="B88" s="37" t="s">
        <v>89</v>
      </c>
      <c r="C88">
        <f>C33</f>
        <v>3.0195648000000005E-2</v>
      </c>
      <c r="D88">
        <f>D33</f>
        <v>3.0167039999999999E-2</v>
      </c>
      <c r="E88">
        <f>E33</f>
        <v>3.0069984000000001E-2</v>
      </c>
      <c r="F88" s="1">
        <f t="shared" si="2"/>
        <v>3.0144224000000001E-2</v>
      </c>
      <c r="G88" s="2">
        <f t="shared" si="3"/>
        <v>5.3779101368469575E-5</v>
      </c>
    </row>
    <row r="89" spans="1:7" ht="15.75" thickTop="1" x14ac:dyDescent="0.25">
      <c r="A89" s="161" t="s">
        <v>90</v>
      </c>
      <c r="B89" s="38" t="s">
        <v>73</v>
      </c>
      <c r="C89">
        <f>C41/C88</f>
        <v>183.02538001502728</v>
      </c>
      <c r="D89">
        <f>D41/D88</f>
        <v>182.01690984597761</v>
      </c>
      <c r="E89">
        <f>E41/E88</f>
        <v>182.31081699278587</v>
      </c>
      <c r="F89" s="1">
        <f t="shared" si="2"/>
        <v>182.45103561793022</v>
      </c>
      <c r="G89" s="2">
        <f t="shared" si="3"/>
        <v>0.42347685304221305</v>
      </c>
    </row>
    <row r="90" spans="1:7" x14ac:dyDescent="0.25">
      <c r="A90" s="162"/>
      <c r="B90" s="38" t="s">
        <v>74</v>
      </c>
      <c r="C90">
        <f>C42/C88</f>
        <v>175.3098052408082</v>
      </c>
      <c r="D90">
        <f>D42/D88</f>
        <v>167.16652545294465</v>
      </c>
      <c r="E90">
        <f>E42/E88</f>
        <v>167.02600340592133</v>
      </c>
      <c r="F90" s="1">
        <f t="shared" si="2"/>
        <v>169.83411136655806</v>
      </c>
      <c r="G90" s="2">
        <f t="shared" si="3"/>
        <v>3.8723252415743086</v>
      </c>
    </row>
    <row r="91" spans="1:7" x14ac:dyDescent="0.25">
      <c r="A91" s="162"/>
      <c r="B91" s="38" t="s">
        <v>75</v>
      </c>
      <c r="C91">
        <f>C43/C88</f>
        <v>159.26561834341157</v>
      </c>
      <c r="D91">
        <f>D43/D88</f>
        <v>159.09506633730058</v>
      </c>
      <c r="E91">
        <f>E43/E88</f>
        <v>158.98594724892436</v>
      </c>
      <c r="F91" s="1">
        <f t="shared" si="2"/>
        <v>159.1155439765455</v>
      </c>
      <c r="G91" s="2">
        <f t="shared" si="3"/>
        <v>0.11508976367659844</v>
      </c>
    </row>
    <row r="92" spans="1:7" x14ac:dyDescent="0.25">
      <c r="A92" s="162"/>
      <c r="B92" s="38" t="s">
        <v>76</v>
      </c>
      <c r="C92">
        <f>C44/C88</f>
        <v>160.05682209568741</v>
      </c>
      <c r="D92">
        <f>D44/D88</f>
        <v>159.90190486040393</v>
      </c>
      <c r="E92">
        <f>E44/E88</f>
        <v>159.78620673692407</v>
      </c>
      <c r="F92" s="1">
        <f t="shared" si="2"/>
        <v>159.91497789767183</v>
      </c>
      <c r="G92" s="2">
        <f t="shared" si="3"/>
        <v>0.11086432046186828</v>
      </c>
    </row>
    <row r="93" spans="1:7" x14ac:dyDescent="0.25">
      <c r="A93" s="162"/>
      <c r="B93" s="38" t="s">
        <v>77</v>
      </c>
      <c r="C93">
        <f>C45/C88</f>
        <v>160.59711088167404</v>
      </c>
      <c r="D93">
        <f>D45/D88</f>
        <v>160.45691091999745</v>
      </c>
      <c r="E93">
        <f>E45/E88</f>
        <v>160.38371187693349</v>
      </c>
      <c r="F93" s="1">
        <f t="shared" si="2"/>
        <v>160.479244559535</v>
      </c>
      <c r="G93" s="2">
        <f t="shared" si="3"/>
        <v>8.8539548215506886E-2</v>
      </c>
    </row>
    <row r="94" spans="1:7" x14ac:dyDescent="0.25">
      <c r="A94" s="162"/>
      <c r="B94" s="38" t="s">
        <v>78</v>
      </c>
      <c r="C94">
        <f>C46/C88</f>
        <v>161.04725488918137</v>
      </c>
      <c r="D94">
        <f>D46/D88</f>
        <v>160.93327452743128</v>
      </c>
      <c r="E94">
        <f>E46/E88</f>
        <v>160.86003870171663</v>
      </c>
      <c r="F94" s="1">
        <f t="shared" si="2"/>
        <v>160.94685603944308</v>
      </c>
      <c r="G94" s="2">
        <f t="shared" si="3"/>
        <v>7.7031674496506761E-2</v>
      </c>
    </row>
    <row r="95" spans="1:7" x14ac:dyDescent="0.25">
      <c r="A95" s="162"/>
      <c r="B95" s="38" t="s">
        <v>79</v>
      </c>
      <c r="C95">
        <f>C47/C88</f>
        <v>162.0411822259949</v>
      </c>
      <c r="D95">
        <f>D47/D88</f>
        <v>161.94281805573237</v>
      </c>
      <c r="E95">
        <f>E47/E88</f>
        <v>161.88249518190631</v>
      </c>
      <c r="F95" s="1">
        <f t="shared" si="2"/>
        <v>161.95549848787786</v>
      </c>
      <c r="G95" s="2">
        <f t="shared" si="3"/>
        <v>6.5401271699874017E-2</v>
      </c>
    </row>
    <row r="96" spans="1:7" x14ac:dyDescent="0.25">
      <c r="A96" s="162"/>
      <c r="B96" s="38" t="s">
        <v>80</v>
      </c>
      <c r="C96">
        <f>C48/C88</f>
        <v>161.85448313611283</v>
      </c>
      <c r="D96">
        <f>D48/D88</f>
        <v>161.7493986814749</v>
      </c>
      <c r="E96">
        <f>E48/E88</f>
        <v>161.71747514065854</v>
      </c>
      <c r="F96" s="1">
        <f t="shared" si="2"/>
        <v>161.77378565274876</v>
      </c>
      <c r="G96" s="2">
        <f t="shared" si="3"/>
        <v>5.8531136901852444E-2</v>
      </c>
    </row>
    <row r="97" spans="1:7" x14ac:dyDescent="0.25">
      <c r="A97" s="162"/>
      <c r="B97" s="38" t="s">
        <v>80</v>
      </c>
      <c r="C97">
        <f>C49/C88</f>
        <v>155.05342524856559</v>
      </c>
      <c r="D97">
        <f>D49/D88</f>
        <v>154.95763986125255</v>
      </c>
      <c r="E97">
        <f>E49/E88</f>
        <v>154.91842862304148</v>
      </c>
      <c r="F97" s="1">
        <f t="shared" si="2"/>
        <v>154.97649791095319</v>
      </c>
      <c r="G97" s="2">
        <f t="shared" si="3"/>
        <v>5.6702391217117599E-2</v>
      </c>
    </row>
    <row r="98" spans="1:7" x14ac:dyDescent="0.25">
      <c r="A98" s="162"/>
      <c r="B98" s="38" t="s">
        <v>80</v>
      </c>
      <c r="C98">
        <f>C50/C88</f>
        <v>148.7558352779844</v>
      </c>
      <c r="D98">
        <f>D50/D88</f>
        <v>148.59353387007809</v>
      </c>
      <c r="E98">
        <f>E50/E88</f>
        <v>148.28704764192756</v>
      </c>
      <c r="F98" s="1">
        <f t="shared" si="2"/>
        <v>148.54547226333</v>
      </c>
      <c r="G98" s="2">
        <f t="shared" si="3"/>
        <v>0.1943757537388964</v>
      </c>
    </row>
    <row r="99" spans="1:7" x14ac:dyDescent="0.25">
      <c r="A99" s="162"/>
      <c r="B99" s="38" t="s">
        <v>80</v>
      </c>
      <c r="C99">
        <f>C51/C88</f>
        <v>132.41887638907431</v>
      </c>
      <c r="D99">
        <f>D51/D88</f>
        <v>132.21967584489562</v>
      </c>
      <c r="E99">
        <f>E51/E88</f>
        <v>132.20013652152258</v>
      </c>
      <c r="F99" s="1">
        <f t="shared" si="2"/>
        <v>132.2795629184975</v>
      </c>
      <c r="G99" s="2">
        <f t="shared" si="3"/>
        <v>9.8831940190020326E-2</v>
      </c>
    </row>
    <row r="100" spans="1:7" ht="15.75" thickBot="1" x14ac:dyDescent="0.3">
      <c r="A100" s="163"/>
      <c r="B100" s="39" t="s">
        <v>80</v>
      </c>
      <c r="C100">
        <f>C52/C88</f>
        <v>63.835777924024008</v>
      </c>
      <c r="D100">
        <f>D52/D88</f>
        <v>64.081930477766463</v>
      </c>
      <c r="E100">
        <f>E52/E88</f>
        <v>77.202484710334389</v>
      </c>
      <c r="F100" s="1">
        <f t="shared" si="2"/>
        <v>68.373397704041622</v>
      </c>
      <c r="G100" s="2">
        <f t="shared" si="3"/>
        <v>6.2439160144599608</v>
      </c>
    </row>
    <row r="101" spans="1:7" ht="15.75" thickTop="1" x14ac:dyDescent="0.25">
      <c r="A101" s="161" t="s">
        <v>91</v>
      </c>
      <c r="B101" s="40" t="s">
        <v>73</v>
      </c>
      <c r="C101">
        <f>C53/C88</f>
        <v>166.42558656134815</v>
      </c>
      <c r="D101">
        <f>D53/D88</f>
        <v>166.03573469588002</v>
      </c>
      <c r="E101">
        <f>E53/E88</f>
        <v>166.11726930084166</v>
      </c>
      <c r="F101" s="1">
        <f t="shared" si="2"/>
        <v>166.19286351935662</v>
      </c>
      <c r="G101" s="2">
        <f t="shared" si="3"/>
        <v>0.16789279050813066</v>
      </c>
    </row>
    <row r="102" spans="1:7" x14ac:dyDescent="0.25">
      <c r="A102" s="162"/>
      <c r="B102" s="38" t="s">
        <v>74</v>
      </c>
      <c r="C102">
        <f>C54/C88</f>
        <v>151.69136956424975</v>
      </c>
      <c r="D102">
        <f>D54/D88</f>
        <v>158.69618663282844</v>
      </c>
      <c r="E102">
        <f>E54/E88</f>
        <v>158.62179607411829</v>
      </c>
      <c r="F102" s="1">
        <f t="shared" si="2"/>
        <v>156.33645075706548</v>
      </c>
      <c r="G102" s="2">
        <f t="shared" si="3"/>
        <v>3.2847088105030147</v>
      </c>
    </row>
    <row r="103" spans="1:7" x14ac:dyDescent="0.25">
      <c r="A103" s="162"/>
      <c r="B103" s="38" t="s">
        <v>75</v>
      </c>
      <c r="C103">
        <f>C55/C88</f>
        <v>159.65298078716506</v>
      </c>
      <c r="D103">
        <f>D55/D88</f>
        <v>159.51266150076376</v>
      </c>
      <c r="E103">
        <f>E55/E88</f>
        <v>159.43936019387306</v>
      </c>
      <c r="F103" s="1">
        <f t="shared" si="2"/>
        <v>159.53500082726728</v>
      </c>
      <c r="G103" s="2">
        <f t="shared" si="3"/>
        <v>8.8629278838244355E-2</v>
      </c>
    </row>
    <row r="104" spans="1:7" x14ac:dyDescent="0.25">
      <c r="A104" s="162"/>
      <c r="B104" s="38" t="s">
        <v>76</v>
      </c>
      <c r="C104">
        <f>C56/C88</f>
        <v>160.21349467313962</v>
      </c>
      <c r="D104">
        <f>D56/D88</f>
        <v>160.09274360361508</v>
      </c>
      <c r="E104">
        <f>E56/E88</f>
        <v>160.06655573877256</v>
      </c>
      <c r="F104" s="1">
        <f t="shared" si="2"/>
        <v>160.12426467184241</v>
      </c>
      <c r="G104" s="2">
        <f t="shared" si="3"/>
        <v>6.3994509737821698E-2</v>
      </c>
    </row>
    <row r="105" spans="1:7" x14ac:dyDescent="0.25">
      <c r="A105" s="162"/>
      <c r="B105" s="38" t="s">
        <v>77</v>
      </c>
      <c r="C105">
        <f>C57/C88</f>
        <v>160.67069665138496</v>
      </c>
      <c r="D105">
        <f>D57/D88</f>
        <v>160.58708577308215</v>
      </c>
      <c r="E105">
        <f>E57/E88</f>
        <v>160.55039902914481</v>
      </c>
      <c r="F105" s="1">
        <f t="shared" si="2"/>
        <v>160.60272715120399</v>
      </c>
      <c r="G105" s="2">
        <f t="shared" si="3"/>
        <v>5.0341295250986635E-2</v>
      </c>
    </row>
    <row r="106" spans="1:7" x14ac:dyDescent="0.25">
      <c r="A106" s="162"/>
      <c r="B106" s="38" t="s">
        <v>78</v>
      </c>
      <c r="C106">
        <f>C58/C88</f>
        <v>161.08571672315162</v>
      </c>
      <c r="D106">
        <f>D58/D88</f>
        <v>161.0178376797989</v>
      </c>
      <c r="E106">
        <f>E58/E88</f>
        <v>160.98686650448499</v>
      </c>
      <c r="F106" s="1">
        <f t="shared" si="2"/>
        <v>161.03014030247849</v>
      </c>
      <c r="G106" s="2">
        <f t="shared" si="3"/>
        <v>4.128242019881663E-2</v>
      </c>
    </row>
    <row r="107" spans="1:7" x14ac:dyDescent="0.25">
      <c r="A107" s="162"/>
      <c r="B107" s="38" t="s">
        <v>79</v>
      </c>
      <c r="C107">
        <f>C59/C88</f>
        <v>161.98280593282843</v>
      </c>
      <c r="D107">
        <f>D59/D88</f>
        <v>161.91281710104803</v>
      </c>
      <c r="E107">
        <f>E59/E88</f>
        <v>161.92858499691917</v>
      </c>
      <c r="F107" s="1">
        <f t="shared" si="2"/>
        <v>161.94140267693186</v>
      </c>
      <c r="G107" s="2">
        <f t="shared" si="3"/>
        <v>2.9975866227985589E-2</v>
      </c>
    </row>
    <row r="108" spans="1:7" x14ac:dyDescent="0.25">
      <c r="A108" s="162"/>
      <c r="B108" s="38" t="s">
        <v>82</v>
      </c>
      <c r="C108">
        <f>C60/C88</f>
        <v>154.67632918492092</v>
      </c>
      <c r="D108">
        <f>D60/D88</f>
        <v>154.69184480810844</v>
      </c>
      <c r="E108">
        <f>E60/E88</f>
        <v>154.6890380786368</v>
      </c>
      <c r="F108" s="1">
        <f t="shared" si="2"/>
        <v>154.68573735722205</v>
      </c>
      <c r="G108" s="2">
        <f t="shared" si="3"/>
        <v>6.7505413174372159E-3</v>
      </c>
    </row>
    <row r="109" spans="1:7" x14ac:dyDescent="0.25">
      <c r="A109" s="162"/>
      <c r="B109" s="38" t="s">
        <v>83</v>
      </c>
      <c r="C109">
        <f>C61/C88</f>
        <v>148.46810142971594</v>
      </c>
      <c r="D109">
        <f>D61/D88</f>
        <v>148.37172158753395</v>
      </c>
      <c r="E109">
        <f>E61/E88</f>
        <v>148.07333751823745</v>
      </c>
      <c r="F109" s="1">
        <f t="shared" si="2"/>
        <v>148.30438684516244</v>
      </c>
      <c r="G109" s="2">
        <f t="shared" si="3"/>
        <v>0.1680478346565393</v>
      </c>
    </row>
    <row r="110" spans="1:7" x14ac:dyDescent="0.25">
      <c r="A110" s="162"/>
      <c r="B110" s="38" t="s">
        <v>84</v>
      </c>
      <c r="C110">
        <f>C62/C88</f>
        <v>137.71893486107663</v>
      </c>
      <c r="D110">
        <f>D62/D88</f>
        <v>137.68611073542516</v>
      </c>
      <c r="E110">
        <f>E62/E88</f>
        <v>137.15096356552766</v>
      </c>
      <c r="F110" s="1">
        <f t="shared" si="2"/>
        <v>137.51866972067648</v>
      </c>
      <c r="G110" s="2">
        <f t="shared" si="3"/>
        <v>0.26035260475867977</v>
      </c>
    </row>
    <row r="111" spans="1:7" x14ac:dyDescent="0.25">
      <c r="A111" s="162"/>
      <c r="B111" s="38" t="s">
        <v>85</v>
      </c>
      <c r="C111">
        <f>C63/C88</f>
        <v>63.666202162642762</v>
      </c>
      <c r="D111">
        <f>D63/D88</f>
        <v>63.990627187818227</v>
      </c>
      <c r="E111">
        <f>E63/E88</f>
        <v>77.083324021722134</v>
      </c>
      <c r="F111" s="1">
        <f t="shared" si="2"/>
        <v>68.246717790727701</v>
      </c>
      <c r="G111" s="2">
        <f t="shared" si="3"/>
        <v>6.2498277395182225</v>
      </c>
    </row>
    <row r="112" spans="1:7" ht="15.75" thickBot="1" x14ac:dyDescent="0.3">
      <c r="A112" s="163"/>
      <c r="B112" s="39" t="s">
        <v>86</v>
      </c>
      <c r="C112">
        <f>C64/C88</f>
        <v>16.210508878630453</v>
      </c>
      <c r="D112">
        <f>D64/D88</f>
        <v>15.906194973056687</v>
      </c>
      <c r="E112">
        <f>E64/E88</f>
        <v>19.479442356869896</v>
      </c>
      <c r="F112" s="1">
        <f t="shared" si="2"/>
        <v>17.198715402852347</v>
      </c>
      <c r="G112" s="2">
        <f t="shared" si="3"/>
        <v>1.6174956604512671</v>
      </c>
    </row>
    <row r="113" spans="1:7" ht="16.5" thickTop="1" thickBot="1" x14ac:dyDescent="0.3">
      <c r="A113" s="41"/>
      <c r="B113" s="42" t="s">
        <v>92</v>
      </c>
    </row>
    <row r="114" spans="1:7" ht="15.75" thickTop="1" x14ac:dyDescent="0.25">
      <c r="A114" s="36"/>
      <c r="B114" s="40" t="s">
        <v>93</v>
      </c>
      <c r="C114">
        <f>C63/C59</f>
        <v>0.3930429640109091</v>
      </c>
      <c r="D114">
        <f>D63/D59</f>
        <v>0.39521656366390295</v>
      </c>
      <c r="E114">
        <f>E63/E59</f>
        <v>0.47603283894062742</v>
      </c>
      <c r="F114" s="1">
        <f t="shared" si="2"/>
        <v>0.42143078887181318</v>
      </c>
      <c r="G114" s="2">
        <f t="shared" si="3"/>
        <v>3.8619675794002974E-2</v>
      </c>
    </row>
    <row r="115" spans="1:7" ht="15.75" thickBot="1" x14ac:dyDescent="0.3">
      <c r="A115" s="36"/>
      <c r="B115" s="39" t="s">
        <v>94</v>
      </c>
      <c r="C115">
        <f>(1-C53/C41)*100</f>
        <v>9.0696675249717913</v>
      </c>
      <c r="D115">
        <f>(1-D53/D41)*100</f>
        <v>8.780049701767167</v>
      </c>
      <c r="E115">
        <f>(1-E53/E41)*100</f>
        <v>8.8823844679413622</v>
      </c>
      <c r="F115" s="1">
        <f t="shared" si="2"/>
        <v>8.9107005648934408</v>
      </c>
      <c r="G115" s="2">
        <f t="shared" si="3"/>
        <v>0.11991933925044745</v>
      </c>
    </row>
    <row r="116" spans="1:7" ht="15.75" thickTop="1" x14ac:dyDescent="0.25">
      <c r="B116" s="43"/>
    </row>
    <row r="117" spans="1:7" ht="15.75" thickBot="1" x14ac:dyDescent="0.3">
      <c r="B117" s="44"/>
    </row>
    <row r="118" spans="1:7" ht="15.75" thickBot="1" x14ac:dyDescent="0.3">
      <c r="B118" s="45" t="s">
        <v>95</v>
      </c>
      <c r="C118">
        <f>C24*C29/10^4</f>
        <v>1.04887304E-2</v>
      </c>
      <c r="D118">
        <f>D24*D29/10^4</f>
        <v>1.04887304E-2</v>
      </c>
      <c r="E118">
        <f>E24*E29/10^4</f>
        <v>1.0660676799999999E-2</v>
      </c>
      <c r="F118" s="1">
        <f t="shared" si="2"/>
        <v>1.0546045866666666E-2</v>
      </c>
      <c r="G118" s="2">
        <f t="shared" si="3"/>
        <v>8.1056310293742745E-5</v>
      </c>
    </row>
    <row r="119" spans="1:7" ht="15.75" thickTop="1" x14ac:dyDescent="0.25">
      <c r="A119" s="161" t="s">
        <v>96</v>
      </c>
      <c r="B119" s="40" t="s">
        <v>73</v>
      </c>
      <c r="C119">
        <f>C41/C118</f>
        <v>526.90552042409251</v>
      </c>
      <c r="D119">
        <f>D41/D118</f>
        <v>523.50581915996236</v>
      </c>
      <c r="E119">
        <f>E41/E118</f>
        <v>514.23408221136583</v>
      </c>
      <c r="F119" s="1">
        <f t="shared" si="2"/>
        <v>521.54847393180694</v>
      </c>
      <c r="G119" s="2">
        <f t="shared" si="3"/>
        <v>5.3550435324327479</v>
      </c>
    </row>
    <row r="120" spans="1:7" x14ac:dyDescent="0.25">
      <c r="A120" s="162"/>
      <c r="B120" s="38" t="s">
        <v>74</v>
      </c>
      <c r="C120">
        <f>C42/C118</f>
        <v>504.69341551576161</v>
      </c>
      <c r="D120">
        <f>D42/D118</f>
        <v>480.7940587356502</v>
      </c>
      <c r="E120">
        <f>E42/E118</f>
        <v>471.12105021324732</v>
      </c>
      <c r="F120" s="1">
        <f t="shared" si="2"/>
        <v>485.53617482155306</v>
      </c>
      <c r="G120" s="2">
        <f t="shared" si="3"/>
        <v>14.110083314908772</v>
      </c>
    </row>
    <row r="121" spans="1:7" x14ac:dyDescent="0.25">
      <c r="A121" s="162"/>
      <c r="B121" s="38" t="s">
        <v>75</v>
      </c>
      <c r="C121">
        <f>C43/C118</f>
        <v>458.50435339628899</v>
      </c>
      <c r="D121">
        <f>D43/D118</f>
        <v>457.57942543741996</v>
      </c>
      <c r="E121">
        <f>E43/E118</f>
        <v>448.44290655167413</v>
      </c>
      <c r="F121" s="1">
        <f t="shared" si="2"/>
        <v>454.84222846179438</v>
      </c>
      <c r="G121" s="2">
        <f t="shared" si="3"/>
        <v>4.5407314839706192</v>
      </c>
    </row>
    <row r="122" spans="1:7" x14ac:dyDescent="0.25">
      <c r="A122" s="162"/>
      <c r="B122" s="38" t="s">
        <v>76</v>
      </c>
      <c r="C122">
        <f>C44/C118</f>
        <v>460.78212287733129</v>
      </c>
      <c r="D122">
        <f>D44/D118</f>
        <v>459.90000467549436</v>
      </c>
      <c r="E122">
        <f>E44/E118</f>
        <v>450.70015442171552</v>
      </c>
      <c r="F122" s="1">
        <f t="shared" si="2"/>
        <v>457.12742732484708</v>
      </c>
      <c r="G122" s="2">
        <f t="shared" si="3"/>
        <v>4.5590138450473141</v>
      </c>
    </row>
    <row r="123" spans="1:7" x14ac:dyDescent="0.25">
      <c r="A123" s="162"/>
      <c r="B123" s="38" t="s">
        <v>77</v>
      </c>
      <c r="C123">
        <f>C45/C118</f>
        <v>462.33754182489042</v>
      </c>
      <c r="D123">
        <f>D45/D118</f>
        <v>461.49627890140067</v>
      </c>
      <c r="E123">
        <f>E45/E118</f>
        <v>452.38550426742142</v>
      </c>
      <c r="F123" s="1">
        <f t="shared" si="2"/>
        <v>458.73977499790425</v>
      </c>
      <c r="G123" s="2">
        <f t="shared" si="3"/>
        <v>4.5062547800297867</v>
      </c>
    </row>
    <row r="124" spans="1:7" x14ac:dyDescent="0.25">
      <c r="A124" s="162"/>
      <c r="B124" s="38" t="s">
        <v>78</v>
      </c>
      <c r="C124">
        <f>C46/C118</f>
        <v>463.63344604605339</v>
      </c>
      <c r="D124">
        <f>D46/D118</f>
        <v>462.86636655280984</v>
      </c>
      <c r="E124">
        <f>E46/E118</f>
        <v>453.72905311227527</v>
      </c>
      <c r="F124" s="1">
        <f t="shared" si="2"/>
        <v>460.07628857037952</v>
      </c>
      <c r="G124" s="2">
        <f t="shared" si="3"/>
        <v>4.499085181656409</v>
      </c>
    </row>
    <row r="125" spans="1:7" x14ac:dyDescent="0.25">
      <c r="A125" s="162"/>
      <c r="B125" s="38" t="s">
        <v>79</v>
      </c>
      <c r="C125">
        <f>C47/C118</f>
        <v>466.49482953628018</v>
      </c>
      <c r="D125">
        <f>D47/D118</f>
        <v>465.76995343497435</v>
      </c>
      <c r="E125">
        <f>E47/E118</f>
        <v>456.61303980250113</v>
      </c>
      <c r="F125" s="1">
        <f t="shared" si="2"/>
        <v>462.95927425791859</v>
      </c>
      <c r="G125" s="2">
        <f t="shared" si="3"/>
        <v>4.4972124820386625</v>
      </c>
    </row>
    <row r="126" spans="1:7" x14ac:dyDescent="0.25">
      <c r="A126" s="162"/>
      <c r="B126" s="38" t="s">
        <v>80</v>
      </c>
      <c r="C126">
        <f>C48/C118</f>
        <v>465.95734789789236</v>
      </c>
      <c r="D126">
        <f>D48/D118</f>
        <v>465.21365255036017</v>
      </c>
      <c r="E126">
        <f>E48/E118</f>
        <v>456.14757685928538</v>
      </c>
      <c r="F126" s="1">
        <f t="shared" si="2"/>
        <v>462.43952576917928</v>
      </c>
      <c r="G126" s="2">
        <f t="shared" si="3"/>
        <v>4.4594272058207771</v>
      </c>
    </row>
    <row r="127" spans="1:7" x14ac:dyDescent="0.25">
      <c r="A127" s="162"/>
      <c r="B127" s="38" t="s">
        <v>80</v>
      </c>
      <c r="C127">
        <f>C49/C118</f>
        <v>446.37801444491322</v>
      </c>
      <c r="D127">
        <f>D49/D118</f>
        <v>445.67961437925794</v>
      </c>
      <c r="E127">
        <f>E49/E118</f>
        <v>436.96988074903464</v>
      </c>
      <c r="F127" s="1">
        <f t="shared" si="2"/>
        <v>443.00916985773529</v>
      </c>
      <c r="G127" s="2">
        <f t="shared" si="3"/>
        <v>4.2799299345339223</v>
      </c>
    </row>
    <row r="128" spans="1:7" x14ac:dyDescent="0.25">
      <c r="A128" s="162"/>
      <c r="B128" s="38" t="s">
        <v>80</v>
      </c>
      <c r="C128">
        <f>C50/C118</f>
        <v>428.24809759625435</v>
      </c>
      <c r="D128">
        <f>D50/D118</f>
        <v>427.37556492061236</v>
      </c>
      <c r="E128">
        <f>E50/E118</f>
        <v>418.26510958478735</v>
      </c>
      <c r="F128" s="1">
        <f t="shared" si="2"/>
        <v>424.62959070055132</v>
      </c>
      <c r="G128" s="2">
        <f t="shared" si="3"/>
        <v>4.5144429868444238</v>
      </c>
    </row>
    <row r="129" spans="1:7" x14ac:dyDescent="0.25">
      <c r="A129" s="162"/>
      <c r="B129" s="38" t="s">
        <v>80</v>
      </c>
      <c r="C129">
        <f>C51/C118</f>
        <v>381.21618418183385</v>
      </c>
      <c r="D129">
        <f>D51/D118</f>
        <v>380.28208352080441</v>
      </c>
      <c r="E129">
        <f>E51/E118</f>
        <v>372.88964524278612</v>
      </c>
      <c r="F129" s="1">
        <f t="shared" si="2"/>
        <v>378.1293043151415</v>
      </c>
      <c r="G129" s="2">
        <f t="shared" si="3"/>
        <v>3.7245721371383178</v>
      </c>
    </row>
    <row r="130" spans="1:7" ht="15.75" thickBot="1" x14ac:dyDescent="0.3">
      <c r="A130" s="163"/>
      <c r="B130" s="39" t="s">
        <v>80</v>
      </c>
      <c r="C130">
        <f>C52/C118</f>
        <v>183.77464254396318</v>
      </c>
      <c r="D130">
        <f>D52/D118</f>
        <v>184.30849933944342</v>
      </c>
      <c r="E130">
        <f>E52/E118</f>
        <v>217.76079732573828</v>
      </c>
      <c r="F130" s="1">
        <f t="shared" si="2"/>
        <v>195.28131306971497</v>
      </c>
      <c r="G130" s="2">
        <f t="shared" si="3"/>
        <v>15.89688984428758</v>
      </c>
    </row>
    <row r="131" spans="1:7" ht="15.75" thickTop="1" x14ac:dyDescent="0.25">
      <c r="A131" s="161" t="s">
        <v>97</v>
      </c>
      <c r="B131" s="40" t="s">
        <v>73</v>
      </c>
      <c r="C131">
        <f>C53/C118</f>
        <v>479.11694155090498</v>
      </c>
      <c r="D131">
        <f>D53/D118</f>
        <v>477.5417480460743</v>
      </c>
      <c r="E131">
        <f>E53/E118</f>
        <v>468.55783396416263</v>
      </c>
      <c r="F131" s="1">
        <f t="shared" si="2"/>
        <v>475.07217452038066</v>
      </c>
      <c r="G131" s="2">
        <f t="shared" si="3"/>
        <v>4.6510058629795541</v>
      </c>
    </row>
    <row r="132" spans="1:7" x14ac:dyDescent="0.25">
      <c r="A132" s="162"/>
      <c r="B132" s="38" t="s">
        <v>74</v>
      </c>
      <c r="C132">
        <f>C54/C118</f>
        <v>436.6991070721009</v>
      </c>
      <c r="D132">
        <f>D54/D118</f>
        <v>456.43219221270101</v>
      </c>
      <c r="E132">
        <f>E54/E118</f>
        <v>447.41576538555228</v>
      </c>
      <c r="F132" s="1">
        <f t="shared" si="2"/>
        <v>446.84902155678475</v>
      </c>
      <c r="G132" s="2">
        <f t="shared" si="3"/>
        <v>8.0659597989380778</v>
      </c>
    </row>
    <row r="133" spans="1:7" x14ac:dyDescent="0.25">
      <c r="A133" s="162"/>
      <c r="B133" s="38" t="s">
        <v>75</v>
      </c>
      <c r="C133">
        <f>C55/C118</f>
        <v>459.61951791610545</v>
      </c>
      <c r="D133">
        <f>D55/D118</f>
        <v>458.78048691193362</v>
      </c>
      <c r="E133">
        <f>E55/E118</f>
        <v>449.72182347747378</v>
      </c>
      <c r="F133" s="1">
        <f t="shared" si="2"/>
        <v>456.04060943517089</v>
      </c>
      <c r="G133" s="2">
        <f t="shared" si="3"/>
        <v>4.4811669046416647</v>
      </c>
    </row>
    <row r="134" spans="1:7" x14ac:dyDescent="0.25">
      <c r="A134" s="162"/>
      <c r="B134" s="38" t="s">
        <v>76</v>
      </c>
      <c r="C134">
        <f>C56/C118</f>
        <v>461.23316221379849</v>
      </c>
      <c r="D134">
        <f>D56/D118</f>
        <v>460.4488833081266</v>
      </c>
      <c r="E134">
        <f>E56/E118</f>
        <v>451.49091941329652</v>
      </c>
      <c r="F134" s="1">
        <f t="shared" si="2"/>
        <v>457.72432164507387</v>
      </c>
      <c r="G134" s="2">
        <f t="shared" si="3"/>
        <v>4.4192948825060006</v>
      </c>
    </row>
    <row r="135" spans="1:7" x14ac:dyDescent="0.25">
      <c r="A135" s="162"/>
      <c r="B135" s="38" t="s">
        <v>77</v>
      </c>
      <c r="C135">
        <f>C57/C118</f>
        <v>462.54938538605205</v>
      </c>
      <c r="D135">
        <f>D57/D118</f>
        <v>461.8706797917124</v>
      </c>
      <c r="E135">
        <f>E57/E118</f>
        <v>452.8556695387295</v>
      </c>
      <c r="F135" s="1">
        <f t="shared" si="2"/>
        <v>459.09191157216463</v>
      </c>
      <c r="G135" s="2">
        <f t="shared" si="3"/>
        <v>4.4183855532411025</v>
      </c>
    </row>
    <row r="136" spans="1:7" x14ac:dyDescent="0.25">
      <c r="A136" s="162"/>
      <c r="B136" s="38" t="s">
        <v>78</v>
      </c>
      <c r="C136">
        <f>C58/C118</f>
        <v>463.74417250728459</v>
      </c>
      <c r="D136">
        <f>D58/D118</f>
        <v>463.10958188037711</v>
      </c>
      <c r="E136">
        <f>E58/E118</f>
        <v>454.08678931153787</v>
      </c>
      <c r="F136" s="1">
        <f t="shared" si="2"/>
        <v>460.31351456639982</v>
      </c>
      <c r="G136" s="2">
        <f t="shared" si="3"/>
        <v>4.4105749334670454</v>
      </c>
    </row>
    <row r="137" spans="1:7" x14ac:dyDescent="0.25">
      <c r="A137" s="162"/>
      <c r="B137" s="38" t="s">
        <v>79</v>
      </c>
      <c r="C137">
        <f>C59/C118</f>
        <v>466.32677201808906</v>
      </c>
      <c r="D137">
        <f>D59/D118</f>
        <v>465.68366653794436</v>
      </c>
      <c r="E137">
        <f>E59/E118</f>
        <v>456.74304280568754</v>
      </c>
      <c r="F137" s="1">
        <f t="shared" si="2"/>
        <v>462.91782712057369</v>
      </c>
      <c r="G137" s="2">
        <f t="shared" si="3"/>
        <v>4.3741183619232142</v>
      </c>
    </row>
    <row r="138" spans="1:7" x14ac:dyDescent="0.25">
      <c r="A138" s="162"/>
      <c r="B138" s="38" t="s">
        <v>82</v>
      </c>
      <c r="C138">
        <f>C60/C118</f>
        <v>445.2924054564316</v>
      </c>
      <c r="D138">
        <f>D60/D118</f>
        <v>444.91515102723963</v>
      </c>
      <c r="E138">
        <f>E60/E118</f>
        <v>436.32285147224422</v>
      </c>
      <c r="F138" s="1">
        <f t="shared" si="2"/>
        <v>442.17680265197185</v>
      </c>
      <c r="G138" s="2">
        <f t="shared" si="3"/>
        <v>4.1422327744878364</v>
      </c>
    </row>
    <row r="139" spans="1:7" x14ac:dyDescent="0.25">
      <c r="A139" s="162"/>
      <c r="B139" s="38" t="s">
        <v>83</v>
      </c>
      <c r="C139">
        <f>C61/C118</f>
        <v>427.41975043995791</v>
      </c>
      <c r="D139">
        <f>D61/D118</f>
        <v>426.73760210291994</v>
      </c>
      <c r="E139">
        <f>E61/E118</f>
        <v>417.66230920723535</v>
      </c>
      <c r="F139" s="1">
        <f t="shared" si="2"/>
        <v>423.93988725003766</v>
      </c>
      <c r="G139" s="2">
        <f t="shared" si="3"/>
        <v>4.4476451560375816</v>
      </c>
    </row>
    <row r="140" spans="1:7" x14ac:dyDescent="0.25">
      <c r="A140" s="162"/>
      <c r="B140" s="38" t="s">
        <v>84</v>
      </c>
      <c r="C140">
        <f>C62/C118</f>
        <v>396.47434164195886</v>
      </c>
      <c r="D140">
        <f>D62/D118</f>
        <v>396.00430667948149</v>
      </c>
      <c r="E140">
        <f>E62/E118</f>
        <v>386.85417045942148</v>
      </c>
      <c r="F140" s="1">
        <f t="shared" si="2"/>
        <v>393.11093959362057</v>
      </c>
      <c r="G140" s="2">
        <f t="shared" si="3"/>
        <v>4.4283633707791674</v>
      </c>
    </row>
    <row r="141" spans="1:7" x14ac:dyDescent="0.25">
      <c r="A141" s="162"/>
      <c r="B141" s="38" t="s">
        <v>85</v>
      </c>
      <c r="C141">
        <f>C63/C118</f>
        <v>183.2864566716292</v>
      </c>
      <c r="D141">
        <f>D63/D118</f>
        <v>184.04589844353325</v>
      </c>
      <c r="E141">
        <f>E63/E118</f>
        <v>217.42468733317196</v>
      </c>
      <c r="F141" s="1">
        <f t="shared" si="2"/>
        <v>194.91901414944482</v>
      </c>
      <c r="G141" s="2">
        <f t="shared" si="3"/>
        <v>15.916934002099357</v>
      </c>
    </row>
    <row r="142" spans="1:7" ht="15.75" thickBot="1" x14ac:dyDescent="0.3">
      <c r="A142" s="163"/>
      <c r="B142" s="39" t="s">
        <v>86</v>
      </c>
      <c r="C142">
        <f>C64/C118</f>
        <v>46.667880795181844</v>
      </c>
      <c r="D142">
        <f>D64/D118</f>
        <v>45.748417749397007</v>
      </c>
      <c r="E142">
        <f>E64/E118</f>
        <v>54.944590384730553</v>
      </c>
      <c r="F142" s="1">
        <f t="shared" si="2"/>
        <v>49.120296309769799</v>
      </c>
      <c r="G142" s="2">
        <f t="shared" si="3"/>
        <v>4.1354688711888663</v>
      </c>
    </row>
    <row r="145" spans="1:7" ht="14.45" customHeight="1" x14ac:dyDescent="0.25">
      <c r="A145" s="171" t="s">
        <v>98</v>
      </c>
      <c r="B145" s="67" t="s">
        <v>99</v>
      </c>
      <c r="C145" s="68" t="str">
        <f>C1</f>
        <v>DD047</v>
      </c>
      <c r="D145" s="68" t="str">
        <f>D1</f>
        <v>DD048</v>
      </c>
      <c r="E145" s="68" t="str">
        <f>E1</f>
        <v>DD049</v>
      </c>
    </row>
    <row r="146" spans="1:7" ht="14.45" customHeight="1" x14ac:dyDescent="0.25">
      <c r="A146" s="172"/>
      <c r="B146" s="69" t="s">
        <v>100</v>
      </c>
      <c r="C146" s="68">
        <f>C33</f>
        <v>3.0195648000000005E-2</v>
      </c>
      <c r="D146" s="68">
        <f>D33</f>
        <v>3.0167039999999999E-2</v>
      </c>
      <c r="E146" s="68">
        <f>E33</f>
        <v>3.0069984000000001E-2</v>
      </c>
      <c r="F146" s="1">
        <f t="shared" si="2"/>
        <v>3.0144224000000001E-2</v>
      </c>
      <c r="G146" s="2">
        <f t="shared" si="3"/>
        <v>5.3779101368469575E-5</v>
      </c>
    </row>
    <row r="147" spans="1:7" ht="14.45" customHeight="1" x14ac:dyDescent="0.25">
      <c r="A147" s="172"/>
      <c r="B147" s="69" t="s">
        <v>101</v>
      </c>
      <c r="C147" s="68"/>
      <c r="D147" s="68"/>
      <c r="E147" s="68"/>
    </row>
    <row r="148" spans="1:7" ht="14.45" customHeight="1" x14ac:dyDescent="0.25">
      <c r="A148" s="172"/>
      <c r="B148" s="69" t="s">
        <v>102</v>
      </c>
      <c r="C148" s="68">
        <v>0.05</v>
      </c>
      <c r="D148" s="68">
        <v>0.05</v>
      </c>
      <c r="E148" s="68">
        <v>0.05</v>
      </c>
    </row>
    <row r="149" spans="1:7" ht="14.45" customHeight="1" x14ac:dyDescent="0.25">
      <c r="A149" s="172"/>
      <c r="B149" s="69" t="s">
        <v>103</v>
      </c>
      <c r="C149" s="68">
        <v>1</v>
      </c>
      <c r="D149" s="68">
        <v>1</v>
      </c>
      <c r="E149" s="68">
        <v>1</v>
      </c>
    </row>
    <row r="150" spans="1:7" ht="14.45" customHeight="1" x14ac:dyDescent="0.25">
      <c r="A150" s="172"/>
      <c r="B150" s="69" t="s">
        <v>104</v>
      </c>
      <c r="C150" s="68">
        <f>C29</f>
        <v>61</v>
      </c>
      <c r="D150" s="68">
        <f>D29</f>
        <v>61</v>
      </c>
      <c r="E150" s="68">
        <f>E29</f>
        <v>62</v>
      </c>
      <c r="F150" s="1">
        <f t="shared" ref="F150:F159" si="4">AVERAGE(C150:E150)</f>
        <v>61.333333333333336</v>
      </c>
      <c r="G150" s="2">
        <f t="shared" ref="G150:G159" si="5">_xlfn.STDEV.P(C150:E150)</f>
        <v>0.47140452079103168</v>
      </c>
    </row>
    <row r="151" spans="1:7" ht="14.45" customHeight="1" x14ac:dyDescent="0.25">
      <c r="A151" s="172"/>
      <c r="B151" s="69" t="s">
        <v>105</v>
      </c>
      <c r="C151" s="68">
        <f>C24</f>
        <v>1.7194640000000001</v>
      </c>
      <c r="D151" s="68">
        <f>D24</f>
        <v>1.7194640000000001</v>
      </c>
      <c r="E151" s="68">
        <f>E24</f>
        <v>1.7194640000000001</v>
      </c>
      <c r="F151" s="1">
        <f t="shared" si="4"/>
        <v>1.7194640000000001</v>
      </c>
      <c r="G151" s="2">
        <f t="shared" si="5"/>
        <v>0</v>
      </c>
    </row>
    <row r="152" spans="1:7" ht="14.45" customHeight="1" x14ac:dyDescent="0.25">
      <c r="A152" s="172"/>
      <c r="B152" s="69" t="s">
        <v>106</v>
      </c>
      <c r="C152" s="68">
        <f>C30</f>
        <v>182.92793568228242</v>
      </c>
      <c r="D152" s="68">
        <f>D30</f>
        <v>182.75462586015178</v>
      </c>
      <c r="E152" s="68">
        <f>E30</f>
        <v>182.16665193339321</v>
      </c>
      <c r="F152" s="1">
        <f t="shared" si="4"/>
        <v>182.61640449194246</v>
      </c>
      <c r="G152" s="2">
        <f t="shared" si="5"/>
        <v>0.32579860502355623</v>
      </c>
    </row>
    <row r="153" spans="1:7" ht="14.45" customHeight="1" x14ac:dyDescent="0.25">
      <c r="A153" s="172"/>
      <c r="B153" s="69" t="s">
        <v>107</v>
      </c>
      <c r="C153" s="68">
        <f>C32</f>
        <v>32.731749265537587</v>
      </c>
      <c r="D153" s="68">
        <f>D32</f>
        <v>32.795480638913375</v>
      </c>
      <c r="E153" s="68">
        <f>E32</f>
        <v>34.092153311410733</v>
      </c>
      <c r="F153" s="1">
        <f t="shared" si="4"/>
        <v>33.206461071953896</v>
      </c>
      <c r="G153" s="2">
        <f t="shared" si="5"/>
        <v>0.62681920799309609</v>
      </c>
    </row>
    <row r="154" spans="1:7" ht="14.45" customHeight="1" thickBot="1" x14ac:dyDescent="0.3">
      <c r="A154" s="173"/>
      <c r="B154" s="70" t="s">
        <v>108</v>
      </c>
      <c r="C154">
        <v>120</v>
      </c>
      <c r="D154" s="68">
        <v>120</v>
      </c>
      <c r="E154" s="68">
        <v>120</v>
      </c>
      <c r="F154" s="1">
        <f t="shared" si="4"/>
        <v>120</v>
      </c>
      <c r="G154" s="2">
        <f t="shared" si="5"/>
        <v>0</v>
      </c>
    </row>
    <row r="156" spans="1:7" x14ac:dyDescent="0.25">
      <c r="A156" s="168" t="s">
        <v>109</v>
      </c>
      <c r="B156" s="94" t="s">
        <v>110</v>
      </c>
      <c r="C156">
        <v>5.0599999999999996</v>
      </c>
      <c r="D156">
        <v>5.0549999999999997</v>
      </c>
      <c r="E156">
        <v>5.04</v>
      </c>
      <c r="F156" s="1">
        <f t="shared" si="4"/>
        <v>5.0516666666666659</v>
      </c>
      <c r="G156" s="2">
        <f t="shared" si="5"/>
        <v>8.4983658559877936E-3</v>
      </c>
    </row>
    <row r="157" spans="1:7" x14ac:dyDescent="0.25">
      <c r="A157" s="169"/>
      <c r="B157" s="95" t="s">
        <v>111</v>
      </c>
      <c r="C157">
        <v>4.71</v>
      </c>
      <c r="D157">
        <v>4.7</v>
      </c>
      <c r="E157">
        <v>4.68</v>
      </c>
      <c r="F157" s="1">
        <f t="shared" si="4"/>
        <v>4.6966666666666663</v>
      </c>
      <c r="G157" s="2">
        <f t="shared" si="5"/>
        <v>1.2472191289246601E-2</v>
      </c>
    </row>
    <row r="158" spans="1:7" x14ac:dyDescent="0.25">
      <c r="A158" s="169"/>
      <c r="B158" s="95" t="s">
        <v>112</v>
      </c>
      <c r="C158">
        <v>4.4800000000000004</v>
      </c>
      <c r="D158">
        <v>4.1399999999999997</v>
      </c>
      <c r="E158">
        <v>4.4000000000000004</v>
      </c>
      <c r="F158" s="1">
        <f t="shared" si="4"/>
        <v>4.3400000000000007</v>
      </c>
      <c r="G158" s="2">
        <f t="shared" si="5"/>
        <v>0.14514360704718193</v>
      </c>
    </row>
    <row r="159" spans="1:7" ht="15.75" thickBot="1" x14ac:dyDescent="0.3">
      <c r="A159" s="170"/>
      <c r="B159" s="96" t="s">
        <v>113</v>
      </c>
      <c r="C159">
        <v>4.92</v>
      </c>
      <c r="D159">
        <v>4.83</v>
      </c>
      <c r="E159">
        <v>4.9000000000000004</v>
      </c>
      <c r="F159" s="1">
        <f t="shared" si="4"/>
        <v>4.8833333333333337</v>
      </c>
      <c r="G159" s="2">
        <f t="shared" si="5"/>
        <v>3.8586123009300748E-2</v>
      </c>
    </row>
  </sheetData>
  <sortState xmlns:xlrd2="http://schemas.microsoft.com/office/spreadsheetml/2017/richdata2" columnSort="1" ref="C1:G156">
    <sortCondition ref="C32:G32"/>
  </sortState>
  <mergeCells count="11">
    <mergeCell ref="A89:A100"/>
    <mergeCell ref="A1:A38"/>
    <mergeCell ref="A41:A52"/>
    <mergeCell ref="A53:A64"/>
    <mergeCell ref="A65:A75"/>
    <mergeCell ref="A76:A86"/>
    <mergeCell ref="A156:A159"/>
    <mergeCell ref="A101:A112"/>
    <mergeCell ref="A119:A130"/>
    <mergeCell ref="A131:A142"/>
    <mergeCell ref="A145:A154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51"/>
  <sheetViews>
    <sheetView workbookViewId="0">
      <pane ySplit="1" topLeftCell="A144" activePane="bottomLeft" state="frozen"/>
      <selection pane="bottomLeft" activeCell="C161" sqref="C161"/>
    </sheetView>
  </sheetViews>
  <sheetFormatPr defaultRowHeight="15" x14ac:dyDescent="0.25"/>
  <cols>
    <col min="1" max="1" width="14.28515625" customWidth="1"/>
    <col min="2" max="2" width="43.140625" style="27" customWidth="1"/>
    <col min="3" max="5" width="15.2851562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t="s">
        <v>226</v>
      </c>
      <c r="D1" t="s">
        <v>227</v>
      </c>
      <c r="E1" t="s">
        <v>228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</v>
      </c>
      <c r="D5" s="8">
        <v>0.9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t="s">
        <v>229</v>
      </c>
      <c r="D8" t="s">
        <v>230</v>
      </c>
      <c r="E8" t="s">
        <v>231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3.6327499999999999E-2</v>
      </c>
      <c r="D12" s="8">
        <v>3.6428799999999997E-2</v>
      </c>
      <c r="E12" s="8">
        <v>3.6662399999999998E-2</v>
      </c>
      <c r="F12" s="1">
        <f t="shared" ref="F12:F25" si="0">AVERAGE(C12:E12)</f>
        <v>3.6472899999999996E-2</v>
      </c>
      <c r="G12" s="2">
        <f t="shared" ref="G12:G25" si="1">_xlfn.STDEV.P(C12:E12)</f>
        <v>1.4023340068138759E-4</v>
      </c>
    </row>
    <row r="13" spans="1:7" x14ac:dyDescent="0.25">
      <c r="A13" s="164"/>
      <c r="B13" s="21" t="s">
        <v>49</v>
      </c>
      <c r="C13" s="8">
        <v>70</v>
      </c>
      <c r="D13" s="8">
        <v>70</v>
      </c>
      <c r="E13" s="8">
        <v>70</v>
      </c>
      <c r="F13" s="1">
        <f t="shared" si="0"/>
        <v>70</v>
      </c>
      <c r="G13" s="2">
        <f t="shared" si="1"/>
        <v>0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3.07575E-2</v>
      </c>
      <c r="D18" s="11">
        <f t="shared" ref="D18:E18" si="2">D12-D14</f>
        <v>3.0858799999999999E-2</v>
      </c>
      <c r="E18" s="11">
        <f t="shared" si="2"/>
        <v>3.1092399999999999E-2</v>
      </c>
      <c r="F18" s="1">
        <f t="shared" si="0"/>
        <v>3.0902900000000001E-2</v>
      </c>
      <c r="G18" s="2">
        <f t="shared" si="1"/>
        <v>1.4023340068138756E-4</v>
      </c>
    </row>
    <row r="19" spans="1:7" x14ac:dyDescent="0.25">
      <c r="A19" s="164"/>
      <c r="B19" s="23" t="s">
        <v>55</v>
      </c>
      <c r="C19" s="12">
        <f>C18*C10/100*C11</f>
        <v>4.8719880000000009</v>
      </c>
      <c r="D19" s="12">
        <f t="shared" ref="D19:E19" si="3">D18*D10/100*D11</f>
        <v>4.8880339199999998</v>
      </c>
      <c r="E19" s="12">
        <f t="shared" si="3"/>
        <v>4.9250361600000003</v>
      </c>
      <c r="F19" s="1">
        <f t="shared" si="0"/>
        <v>4.89501936</v>
      </c>
      <c r="G19" s="2">
        <f t="shared" si="1"/>
        <v>2.2212970667931702E-2</v>
      </c>
    </row>
    <row r="20" spans="1:7" x14ac:dyDescent="0.25">
      <c r="A20" s="164"/>
      <c r="B20" s="23" t="s">
        <v>56</v>
      </c>
      <c r="C20" s="12">
        <f>C19/C16</f>
        <v>2.8334341399412843</v>
      </c>
      <c r="D20" s="12">
        <f t="shared" ref="D20:E20" si="4">D19/D16</f>
        <v>2.8427660712873313</v>
      </c>
      <c r="E20" s="12">
        <f t="shared" si="4"/>
        <v>2.8642857076391248</v>
      </c>
      <c r="F20" s="1">
        <f t="shared" si="0"/>
        <v>2.8468286396225806</v>
      </c>
      <c r="G20" s="2">
        <f t="shared" si="1"/>
        <v>1.2918543608898891E-2</v>
      </c>
    </row>
    <row r="21" spans="1:7" x14ac:dyDescent="0.25">
      <c r="A21" s="164"/>
      <c r="B21" s="22" t="s">
        <v>57</v>
      </c>
      <c r="C21" s="13">
        <f>C13-C15</f>
        <v>57</v>
      </c>
      <c r="D21" s="13">
        <f t="shared" ref="D21:E21" si="5">D13-D15</f>
        <v>57</v>
      </c>
      <c r="E21" s="13">
        <f t="shared" si="5"/>
        <v>57</v>
      </c>
      <c r="F21" s="1">
        <f t="shared" si="0"/>
        <v>57</v>
      </c>
      <c r="G21" s="2">
        <f t="shared" si="1"/>
        <v>0</v>
      </c>
    </row>
    <row r="22" spans="1:7" x14ac:dyDescent="0.25">
      <c r="A22" s="164"/>
      <c r="B22" s="22" t="s">
        <v>58</v>
      </c>
      <c r="C22" s="13">
        <f>C18/(C16/10^4)</f>
        <v>178.87841792558612</v>
      </c>
      <c r="D22" s="13">
        <f t="shared" ref="D22:E22" si="6">D18/(D16/10^4)</f>
        <v>179.46755500551333</v>
      </c>
      <c r="E22" s="13">
        <f t="shared" si="6"/>
        <v>180.8261179065104</v>
      </c>
      <c r="F22" s="1">
        <f t="shared" si="0"/>
        <v>179.72403027920328</v>
      </c>
      <c r="G22" s="2">
        <f t="shared" si="1"/>
        <v>0.8155646217739243</v>
      </c>
    </row>
    <row r="23" spans="1:7" x14ac:dyDescent="0.25">
      <c r="A23" s="164"/>
      <c r="B23" s="22" t="s">
        <v>59</v>
      </c>
      <c r="C23" s="13">
        <f>C18/C16/(C21/10^4)</f>
        <v>3.1382178583436158</v>
      </c>
      <c r="D23" s="13">
        <f t="shared" ref="D23:E23" si="7">D18/D16/(D21/10^4)</f>
        <v>3.1485535965879525</v>
      </c>
      <c r="E23" s="13">
        <f t="shared" si="7"/>
        <v>3.1723880334475507</v>
      </c>
      <c r="F23" s="1">
        <f t="shared" si="0"/>
        <v>3.1530531627930394</v>
      </c>
      <c r="G23" s="2">
        <f t="shared" si="1"/>
        <v>1.4308151259191746E-2</v>
      </c>
    </row>
    <row r="24" spans="1:7" x14ac:dyDescent="0.25">
      <c r="A24" s="164"/>
      <c r="B24" s="22" t="s">
        <v>60</v>
      </c>
      <c r="C24" s="13">
        <f>(1-C23/C17)*100</f>
        <v>29.604803536482372</v>
      </c>
      <c r="D24" s="13">
        <f t="shared" ref="D24:E24" si="8">(1-D23/D17)*100</f>
        <v>29.372956559265305</v>
      </c>
      <c r="E24" s="13">
        <f t="shared" si="8"/>
        <v>28.838312394626499</v>
      </c>
      <c r="F24" s="1">
        <f t="shared" si="0"/>
        <v>29.27202416345806</v>
      </c>
      <c r="G24" s="2">
        <f t="shared" si="1"/>
        <v>0.3209544921308139</v>
      </c>
    </row>
    <row r="25" spans="1:7" x14ac:dyDescent="0.25">
      <c r="A25" s="164"/>
      <c r="B25" s="24" t="s">
        <v>61</v>
      </c>
      <c r="C25" s="14">
        <f>(C18*C10)/100</f>
        <v>2.9527200000000003E-2</v>
      </c>
      <c r="D25" s="14">
        <f t="shared" ref="D25:E25" si="9">(D18*D10)/100</f>
        <v>2.9624448000000001E-2</v>
      </c>
      <c r="E25" s="14">
        <f t="shared" si="9"/>
        <v>2.9848704E-2</v>
      </c>
      <c r="F25" s="1">
        <f t="shared" si="0"/>
        <v>2.9666784000000002E-2</v>
      </c>
      <c r="G25" s="2">
        <f t="shared" si="1"/>
        <v>1.3462406465413111E-4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141</v>
      </c>
      <c r="D28" t="s">
        <v>65</v>
      </c>
      <c r="E28" t="s">
        <v>65</v>
      </c>
    </row>
    <row r="29" spans="1:7" x14ac:dyDescent="0.25">
      <c r="A29" s="164"/>
      <c r="B29" s="18" t="s">
        <v>67</v>
      </c>
      <c r="C29" t="s">
        <v>70</v>
      </c>
      <c r="D29" t="s">
        <v>232</v>
      </c>
      <c r="E29" t="s">
        <v>68</v>
      </c>
    </row>
    <row r="30" spans="1:7" x14ac:dyDescent="0.25">
      <c r="A30" s="164"/>
      <c r="B30" s="25" t="s">
        <v>71</v>
      </c>
      <c r="C30">
        <v>3.3319999999999999</v>
      </c>
      <c r="D30">
        <v>3.3439999999999999</v>
      </c>
      <c r="E30">
        <v>3.3540000000000001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5.5162707400000004</v>
      </c>
      <c r="D33" s="75">
        <v>5.36448839</v>
      </c>
      <c r="E33" s="120">
        <v>5.4621802400000004</v>
      </c>
      <c r="F33" s="1">
        <f t="shared" ref="F33:F78" si="10">AVERAGE(C33:E33)</f>
        <v>5.4476464566666678</v>
      </c>
      <c r="G33" s="2">
        <f t="shared" ref="G33:G78" si="11">_xlfn.STDEV.P(C33:E33)</f>
        <v>6.2811323747478665E-2</v>
      </c>
    </row>
    <row r="34" spans="1:7" x14ac:dyDescent="0.25">
      <c r="A34" s="166"/>
      <c r="B34" s="29" t="s">
        <v>74</v>
      </c>
      <c r="C34" s="78">
        <v>7.0802425600000003</v>
      </c>
      <c r="D34" s="78">
        <v>4.9826215100000004</v>
      </c>
      <c r="E34" s="121">
        <v>5.02641077</v>
      </c>
      <c r="F34" s="1">
        <f t="shared" si="10"/>
        <v>5.6964249466666672</v>
      </c>
      <c r="G34" s="2">
        <f t="shared" si="11"/>
        <v>0.97867010616499495</v>
      </c>
    </row>
    <row r="35" spans="1:7" x14ac:dyDescent="0.25">
      <c r="A35" s="166"/>
      <c r="B35" s="29" t="s">
        <v>75</v>
      </c>
      <c r="C35" s="78">
        <v>7.9318319700000002</v>
      </c>
      <c r="D35" s="78">
        <v>4.7528870000000003</v>
      </c>
      <c r="E35" s="121">
        <v>4.7948735400000002</v>
      </c>
      <c r="F35" s="1">
        <f t="shared" si="10"/>
        <v>5.8265308366666666</v>
      </c>
      <c r="G35" s="2">
        <f t="shared" si="11"/>
        <v>1.4887713869488204</v>
      </c>
    </row>
    <row r="36" spans="1:7" x14ac:dyDescent="0.25">
      <c r="A36" s="166"/>
      <c r="B36" s="29" t="s">
        <v>76</v>
      </c>
      <c r="C36" s="78">
        <v>4.7706644000000002</v>
      </c>
      <c r="D36" s="78">
        <v>4.7718816999999998</v>
      </c>
      <c r="E36" s="121">
        <v>4.8124902499999997</v>
      </c>
      <c r="F36" s="1">
        <f t="shared" si="10"/>
        <v>4.7850121166666666</v>
      </c>
      <c r="G36" s="2">
        <f t="shared" si="11"/>
        <v>1.94363287588959E-2</v>
      </c>
    </row>
    <row r="37" spans="1:7" x14ac:dyDescent="0.25">
      <c r="A37" s="166"/>
      <c r="B37" s="29" t="s">
        <v>77</v>
      </c>
      <c r="C37" s="78">
        <v>4.7869206599999998</v>
      </c>
      <c r="D37" s="78">
        <v>4.7847820199999997</v>
      </c>
      <c r="E37" s="121">
        <v>4.8253689399999997</v>
      </c>
      <c r="F37" s="1">
        <f t="shared" si="10"/>
        <v>4.7990238733333328</v>
      </c>
      <c r="G37" s="2">
        <f t="shared" si="11"/>
        <v>1.8649224264755744E-2</v>
      </c>
    </row>
    <row r="38" spans="1:7" x14ac:dyDescent="0.25">
      <c r="A38" s="166"/>
      <c r="B38" s="29" t="s">
        <v>78</v>
      </c>
      <c r="C38" s="78">
        <v>4.7979429800000002</v>
      </c>
      <c r="D38" s="78">
        <v>4.7959205300000001</v>
      </c>
      <c r="E38" s="121">
        <v>4.83571609</v>
      </c>
      <c r="F38" s="1">
        <f t="shared" si="10"/>
        <v>4.8098598666666668</v>
      </c>
      <c r="G38" s="2">
        <f t="shared" si="11"/>
        <v>1.8301744721893425E-2</v>
      </c>
    </row>
    <row r="39" spans="1:7" x14ac:dyDescent="0.25">
      <c r="A39" s="166"/>
      <c r="B39" s="29" t="s">
        <v>79</v>
      </c>
      <c r="C39" s="78">
        <v>4.8252237100000004</v>
      </c>
      <c r="D39" s="78">
        <v>4.8232282499999997</v>
      </c>
      <c r="E39" s="121">
        <v>4.8619797299999998</v>
      </c>
      <c r="F39" s="1">
        <f t="shared" si="10"/>
        <v>4.8368105633333327</v>
      </c>
      <c r="G39" s="2">
        <f t="shared" si="11"/>
        <v>1.7815923180752834E-2</v>
      </c>
    </row>
    <row r="40" spans="1:7" x14ac:dyDescent="0.25">
      <c r="A40" s="166"/>
      <c r="B40" s="29" t="s">
        <v>80</v>
      </c>
      <c r="C40" s="78">
        <v>4.8158277700000003</v>
      </c>
      <c r="D40" s="78">
        <v>4.8144588400000004</v>
      </c>
      <c r="E40" s="121">
        <v>4.85163704</v>
      </c>
      <c r="F40" s="1">
        <f t="shared" si="10"/>
        <v>4.8273078833333338</v>
      </c>
      <c r="G40" s="2">
        <f t="shared" si="11"/>
        <v>1.7212386826926405E-2</v>
      </c>
    </row>
    <row r="41" spans="1:7" x14ac:dyDescent="0.25">
      <c r="A41" s="166"/>
      <c r="B41" s="29" t="s">
        <v>80</v>
      </c>
      <c r="C41" s="78">
        <v>4.6220354800000001</v>
      </c>
      <c r="D41" s="78">
        <v>4.6145205200000001</v>
      </c>
      <c r="E41" s="121">
        <v>4.6493059099999998</v>
      </c>
      <c r="F41" s="1">
        <f t="shared" si="10"/>
        <v>4.6286206366666667</v>
      </c>
      <c r="G41" s="2">
        <f t="shared" si="11"/>
        <v>1.4944989251840169E-2</v>
      </c>
    </row>
    <row r="42" spans="1:7" x14ac:dyDescent="0.25">
      <c r="A42" s="166"/>
      <c r="B42" s="29" t="s">
        <v>80</v>
      </c>
      <c r="C42" s="78">
        <v>4.4401846699999998</v>
      </c>
      <c r="D42" s="78">
        <v>4.4280507</v>
      </c>
      <c r="E42" s="121">
        <v>4.4673313800000001</v>
      </c>
      <c r="F42" s="1">
        <f t="shared" si="10"/>
        <v>4.4451889166666669</v>
      </c>
      <c r="G42" s="2">
        <f t="shared" si="11"/>
        <v>1.6422034361211882E-2</v>
      </c>
    </row>
    <row r="43" spans="1:7" x14ac:dyDescent="0.25">
      <c r="A43" s="166"/>
      <c r="B43" s="29" t="s">
        <v>80</v>
      </c>
      <c r="C43" s="78">
        <v>3.9350864799999998</v>
      </c>
      <c r="D43" s="78">
        <v>3.93439351</v>
      </c>
      <c r="E43" s="121">
        <v>3.9642452399999999</v>
      </c>
      <c r="F43" s="1">
        <f t="shared" si="10"/>
        <v>3.9445750766666667</v>
      </c>
      <c r="G43" s="2">
        <f t="shared" si="11"/>
        <v>1.3911782680524986E-2</v>
      </c>
    </row>
    <row r="44" spans="1:7" ht="15.75" thickBot="1" x14ac:dyDescent="0.3">
      <c r="A44" s="167"/>
      <c r="B44" s="30" t="s">
        <v>80</v>
      </c>
      <c r="C44" s="81">
        <v>1.7836202800000001</v>
      </c>
      <c r="D44" s="81">
        <v>1.9806409199999999</v>
      </c>
      <c r="E44" s="122">
        <v>1.58371372</v>
      </c>
      <c r="F44" s="1">
        <f t="shared" si="10"/>
        <v>1.7826583066666668</v>
      </c>
      <c r="G44" s="2">
        <f t="shared" si="11"/>
        <v>0.16204627851220058</v>
      </c>
    </row>
    <row r="45" spans="1:7" ht="15.75" thickTop="1" x14ac:dyDescent="0.25">
      <c r="A45" s="165" t="s">
        <v>81</v>
      </c>
      <c r="B45" s="28" t="s">
        <v>73</v>
      </c>
      <c r="C45" s="78">
        <v>4.6708580099999999</v>
      </c>
      <c r="D45" s="78">
        <v>4.9085636099999999</v>
      </c>
      <c r="E45" s="121">
        <v>5.0030108499999999</v>
      </c>
      <c r="F45" s="1">
        <f t="shared" si="10"/>
        <v>4.8608108233333338</v>
      </c>
      <c r="G45" s="2">
        <f t="shared" si="11"/>
        <v>0.13974172308426841</v>
      </c>
    </row>
    <row r="46" spans="1:7" x14ac:dyDescent="0.25">
      <c r="A46" s="166"/>
      <c r="B46" s="29" t="s">
        <v>74</v>
      </c>
      <c r="C46" s="78">
        <v>3.4775082099999999</v>
      </c>
      <c r="D46" s="78">
        <v>4.7386316400000004</v>
      </c>
      <c r="E46" s="121">
        <v>4.7810485900000002</v>
      </c>
      <c r="F46" s="1">
        <f t="shared" si="10"/>
        <v>4.3323961466666674</v>
      </c>
      <c r="G46" s="2">
        <f t="shared" si="11"/>
        <v>0.60474503586522987</v>
      </c>
    </row>
    <row r="47" spans="1:7" x14ac:dyDescent="0.25">
      <c r="A47" s="166"/>
      <c r="B47" s="29" t="s">
        <v>75</v>
      </c>
      <c r="C47" s="78">
        <v>3.4804035400000002</v>
      </c>
      <c r="D47" s="78">
        <v>4.7584060800000003</v>
      </c>
      <c r="E47" s="121">
        <v>4.7990033900000002</v>
      </c>
      <c r="F47" s="1">
        <f t="shared" si="10"/>
        <v>4.3459376700000005</v>
      </c>
      <c r="G47" s="2">
        <f t="shared" si="11"/>
        <v>0.61224942250739323</v>
      </c>
    </row>
    <row r="48" spans="1:7" x14ac:dyDescent="0.25">
      <c r="A48" s="166"/>
      <c r="B48" s="29" t="s">
        <v>76</v>
      </c>
      <c r="C48" s="78">
        <v>4.7728591500000004</v>
      </c>
      <c r="D48" s="78">
        <v>4.7720437999999996</v>
      </c>
      <c r="E48" s="121">
        <v>4.81270781</v>
      </c>
      <c r="F48" s="1">
        <f t="shared" si="10"/>
        <v>4.785870253333333</v>
      </c>
      <c r="G48" s="2">
        <f t="shared" si="11"/>
        <v>1.8979937386321633E-2</v>
      </c>
    </row>
    <row r="49" spans="1:7" x14ac:dyDescent="0.25">
      <c r="A49" s="166"/>
      <c r="B49" s="29" t="s">
        <v>77</v>
      </c>
      <c r="C49" s="78">
        <v>4.7837288400000002</v>
      </c>
      <c r="D49" s="78">
        <v>4.78399222</v>
      </c>
      <c r="E49" s="121">
        <v>4.8235040299999996</v>
      </c>
      <c r="F49" s="1">
        <f t="shared" si="10"/>
        <v>4.7970750299999994</v>
      </c>
      <c r="G49" s="2">
        <f t="shared" si="11"/>
        <v>1.8688434444973121E-2</v>
      </c>
    </row>
    <row r="50" spans="1:7" x14ac:dyDescent="0.25">
      <c r="A50" s="166"/>
      <c r="B50" s="29" t="s">
        <v>78</v>
      </c>
      <c r="C50" s="78">
        <v>4.7933927199999999</v>
      </c>
      <c r="D50" s="78">
        <v>4.7939644499999998</v>
      </c>
      <c r="E50" s="121">
        <v>4.8322368200000003</v>
      </c>
      <c r="F50" s="1">
        <f t="shared" si="10"/>
        <v>4.8065313300000003</v>
      </c>
      <c r="G50" s="2">
        <f t="shared" si="11"/>
        <v>1.8178024845094534E-2</v>
      </c>
    </row>
    <row r="51" spans="1:7" x14ac:dyDescent="0.25">
      <c r="A51" s="166"/>
      <c r="B51" s="29" t="s">
        <v>79</v>
      </c>
      <c r="C51" s="78">
        <v>4.8170105400000001</v>
      </c>
      <c r="D51" s="78">
        <v>4.81778934</v>
      </c>
      <c r="E51" s="121">
        <v>4.8544877299999998</v>
      </c>
      <c r="F51" s="1">
        <f t="shared" si="10"/>
        <v>4.8297625366666663</v>
      </c>
      <c r="G51" s="2">
        <f t="shared" si="11"/>
        <v>1.7486242618851861E-2</v>
      </c>
    </row>
    <row r="52" spans="1:7" x14ac:dyDescent="0.25">
      <c r="A52" s="166"/>
      <c r="B52" s="29" t="s">
        <v>82</v>
      </c>
      <c r="C52" s="78">
        <v>4.6038701</v>
      </c>
      <c r="D52" s="78">
        <v>4.6035279600000001</v>
      </c>
      <c r="E52" s="121">
        <v>4.6380023599999998</v>
      </c>
      <c r="F52" s="1">
        <f t="shared" si="10"/>
        <v>4.6151334733333327</v>
      </c>
      <c r="G52" s="2">
        <f t="shared" si="11"/>
        <v>1.6171348077686193E-2</v>
      </c>
    </row>
    <row r="53" spans="1:7" x14ac:dyDescent="0.25">
      <c r="A53" s="166"/>
      <c r="B53" s="29" t="s">
        <v>83</v>
      </c>
      <c r="C53" s="78">
        <v>4.4276084999999998</v>
      </c>
      <c r="D53" s="78">
        <v>4.4197107500000001</v>
      </c>
      <c r="E53" s="121">
        <v>4.4589674400000003</v>
      </c>
      <c r="F53" s="1">
        <f t="shared" si="10"/>
        <v>4.4354288966666671</v>
      </c>
      <c r="G53" s="2">
        <f t="shared" si="11"/>
        <v>1.6953679648914775E-2</v>
      </c>
    </row>
    <row r="54" spans="1:7" x14ac:dyDescent="0.25">
      <c r="A54" s="166"/>
      <c r="B54" s="29" t="s">
        <v>84</v>
      </c>
      <c r="C54" s="78">
        <v>4.1388026699999996</v>
      </c>
      <c r="D54" s="78">
        <v>4.1302208399999998</v>
      </c>
      <c r="E54" s="121">
        <v>4.1554718900000003</v>
      </c>
      <c r="F54" s="1">
        <f t="shared" si="10"/>
        <v>4.1414984666666674</v>
      </c>
      <c r="G54" s="2">
        <f t="shared" si="11"/>
        <v>1.0483459075344703E-2</v>
      </c>
    </row>
    <row r="55" spans="1:7" x14ac:dyDescent="0.25">
      <c r="A55" s="166"/>
      <c r="B55" s="29" t="s">
        <v>85</v>
      </c>
      <c r="C55" s="78">
        <v>1.7768146600000001</v>
      </c>
      <c r="D55" s="78">
        <v>1.9768372700000001</v>
      </c>
      <c r="E55" s="121">
        <v>1.5803157299999999</v>
      </c>
      <c r="F55" s="1">
        <f t="shared" si="10"/>
        <v>1.77798922</v>
      </c>
      <c r="G55" s="2">
        <f t="shared" si="11"/>
        <v>0.16188137141003003</v>
      </c>
    </row>
    <row r="56" spans="1:7" ht="15.75" thickBot="1" x14ac:dyDescent="0.3">
      <c r="A56" s="167"/>
      <c r="B56" s="30" t="s">
        <v>86</v>
      </c>
      <c r="C56" s="81">
        <v>0.39692558999999999</v>
      </c>
      <c r="D56" s="81">
        <v>0.51049168</v>
      </c>
      <c r="E56" s="122">
        <v>0.41796465999999999</v>
      </c>
      <c r="F56" s="1">
        <f t="shared" si="10"/>
        <v>0.4417939766666667</v>
      </c>
      <c r="G56" s="2">
        <f t="shared" si="11"/>
        <v>4.9330122299140196E-2</v>
      </c>
    </row>
    <row r="57" spans="1:7" ht="15.75" thickTop="1" x14ac:dyDescent="0.25">
      <c r="A57" s="165" t="s">
        <v>87</v>
      </c>
      <c r="B57" s="31">
        <v>0.9</v>
      </c>
      <c r="C57" s="84">
        <v>19.239872099999999</v>
      </c>
      <c r="D57" s="84">
        <v>17.983116200000001</v>
      </c>
      <c r="E57" s="123">
        <v>18.837706499999999</v>
      </c>
      <c r="F57" s="1">
        <f t="shared" si="10"/>
        <v>18.686898266666663</v>
      </c>
      <c r="G57" s="2">
        <f t="shared" si="11"/>
        <v>0.52403319899731671</v>
      </c>
    </row>
    <row r="58" spans="1:7" x14ac:dyDescent="0.25">
      <c r="A58" s="166"/>
      <c r="B58" s="32">
        <v>0.8</v>
      </c>
      <c r="C58" s="87">
        <v>20.364068499999998</v>
      </c>
      <c r="D58" s="87">
        <v>19.075126699999998</v>
      </c>
      <c r="E58" s="124">
        <v>20.292589499999998</v>
      </c>
      <c r="F58" s="1">
        <f t="shared" si="10"/>
        <v>19.9105949</v>
      </c>
      <c r="G58" s="2">
        <f t="shared" si="11"/>
        <v>0.59148550095990238</v>
      </c>
    </row>
    <row r="59" spans="1:7" x14ac:dyDescent="0.25">
      <c r="A59" s="166"/>
      <c r="B59" s="32">
        <v>0.7</v>
      </c>
      <c r="C59" s="78">
        <v>22.097110499999999</v>
      </c>
      <c r="D59" s="78">
        <v>20.584520099999999</v>
      </c>
      <c r="E59" s="121">
        <v>22.583559399999999</v>
      </c>
      <c r="F59" s="1">
        <f t="shared" si="10"/>
        <v>21.755063333333329</v>
      </c>
      <c r="G59" s="2">
        <f t="shared" si="11"/>
        <v>0.85119004102281937</v>
      </c>
    </row>
    <row r="60" spans="1:7" x14ac:dyDescent="0.25">
      <c r="A60" s="166"/>
      <c r="B60" s="32">
        <v>0.6</v>
      </c>
      <c r="C60" s="78">
        <v>25.491382600000001</v>
      </c>
      <c r="D60" s="78">
        <v>23.433070499999999</v>
      </c>
      <c r="E60" s="121">
        <v>27.416595099999999</v>
      </c>
      <c r="F60" s="1">
        <f t="shared" si="10"/>
        <v>25.447016066666666</v>
      </c>
      <c r="G60" s="2">
        <f t="shared" si="11"/>
        <v>1.6265696729951455</v>
      </c>
    </row>
    <row r="61" spans="1:7" x14ac:dyDescent="0.25">
      <c r="A61" s="166"/>
      <c r="B61" s="32">
        <v>0.5</v>
      </c>
      <c r="C61" s="78">
        <v>34.543972699999998</v>
      </c>
      <c r="D61" s="78">
        <v>30.595947899999999</v>
      </c>
      <c r="E61" s="121">
        <v>41.925442699999998</v>
      </c>
      <c r="F61" s="1">
        <f t="shared" si="10"/>
        <v>35.688454433333334</v>
      </c>
      <c r="G61" s="2">
        <f t="shared" si="11"/>
        <v>4.6955114690703184</v>
      </c>
    </row>
    <row r="62" spans="1:7" x14ac:dyDescent="0.25">
      <c r="A62" s="166"/>
      <c r="B62" s="32">
        <v>0.4</v>
      </c>
      <c r="C62" s="78">
        <v>64.256103600000003</v>
      </c>
      <c r="D62" s="78">
        <v>51.512841199999997</v>
      </c>
      <c r="E62" s="121">
        <v>59.325219699999998</v>
      </c>
      <c r="F62" s="1">
        <f t="shared" si="10"/>
        <v>58.364721500000002</v>
      </c>
      <c r="G62" s="2">
        <f t="shared" si="11"/>
        <v>5.2465608889993147</v>
      </c>
    </row>
    <row r="63" spans="1:7" x14ac:dyDescent="0.25">
      <c r="A63" s="166"/>
      <c r="B63" s="32">
        <v>0.3</v>
      </c>
      <c r="C63" s="78">
        <v>67.684986899999998</v>
      </c>
      <c r="D63" s="78">
        <v>57.6921192</v>
      </c>
      <c r="E63" s="121">
        <v>60.691858799999999</v>
      </c>
      <c r="F63" s="1">
        <f t="shared" si="10"/>
        <v>62.022988300000002</v>
      </c>
      <c r="G63" s="2">
        <f t="shared" si="11"/>
        <v>4.1867473872329981</v>
      </c>
    </row>
    <row r="64" spans="1:7" x14ac:dyDescent="0.25">
      <c r="A64" s="166"/>
      <c r="B64" s="32">
        <v>0.2</v>
      </c>
      <c r="C64" s="78">
        <v>69.581986599999993</v>
      </c>
      <c r="D64" s="78">
        <v>58.920360299999999</v>
      </c>
      <c r="E64" s="121">
        <v>62.298774700000003</v>
      </c>
      <c r="F64" s="1">
        <f t="shared" si="10"/>
        <v>63.600373866666665</v>
      </c>
      <c r="G64" s="2">
        <f t="shared" si="11"/>
        <v>4.4488342393045999</v>
      </c>
    </row>
    <row r="65" spans="1:7" x14ac:dyDescent="0.25">
      <c r="A65" s="166"/>
      <c r="B65" s="32">
        <v>0.1</v>
      </c>
      <c r="C65" s="78">
        <v>75.575064699999999</v>
      </c>
      <c r="D65" s="78">
        <v>64.307587299999994</v>
      </c>
      <c r="E65" s="121">
        <v>67.215789000000001</v>
      </c>
      <c r="F65" s="1">
        <f t="shared" si="10"/>
        <v>69.032813666666669</v>
      </c>
      <c r="G65" s="2">
        <f t="shared" si="11"/>
        <v>4.7759952344570058</v>
      </c>
    </row>
    <row r="66" spans="1:7" x14ac:dyDescent="0.25">
      <c r="A66" s="166"/>
      <c r="B66" s="32">
        <v>0.5</v>
      </c>
      <c r="C66" s="78">
        <v>17.2022735</v>
      </c>
      <c r="D66" s="78">
        <v>14.200420299999999</v>
      </c>
      <c r="E66" s="121">
        <v>17.012712700000002</v>
      </c>
      <c r="F66" s="1">
        <f t="shared" si="10"/>
        <v>16.138468833333334</v>
      </c>
      <c r="G66" s="2">
        <f t="shared" si="11"/>
        <v>1.3725905950405792</v>
      </c>
    </row>
    <row r="67" spans="1:7" ht="15.75" thickBot="1" x14ac:dyDescent="0.3">
      <c r="A67" s="167"/>
      <c r="B67" s="33">
        <v>0.2</v>
      </c>
      <c r="C67" s="81">
        <v>56.037076300000003</v>
      </c>
      <c r="D67" s="81">
        <v>39.165698399999997</v>
      </c>
      <c r="E67" s="122">
        <v>52.946914100000001</v>
      </c>
      <c r="F67" s="1">
        <f t="shared" si="10"/>
        <v>49.383229599999993</v>
      </c>
      <c r="G67" s="2">
        <f t="shared" si="11"/>
        <v>7.3341999551329549</v>
      </c>
    </row>
    <row r="68" spans="1:7" ht="15.75" thickTop="1" x14ac:dyDescent="0.25">
      <c r="A68" s="165" t="s">
        <v>88</v>
      </c>
      <c r="B68" s="31">
        <v>0.9</v>
      </c>
      <c r="C68" s="78">
        <v>19.7652976</v>
      </c>
      <c r="D68" s="78">
        <v>18.411184800000001</v>
      </c>
      <c r="E68" s="121">
        <v>19.2989809</v>
      </c>
      <c r="F68" s="1">
        <f t="shared" si="10"/>
        <v>19.158487766666667</v>
      </c>
      <c r="G68" s="2">
        <f t="shared" si="11"/>
        <v>0.56166959989322474</v>
      </c>
    </row>
    <row r="69" spans="1:7" x14ac:dyDescent="0.25">
      <c r="A69" s="166"/>
      <c r="B69" s="32">
        <v>0.8</v>
      </c>
      <c r="C69" s="78">
        <v>20.906365600000001</v>
      </c>
      <c r="D69" s="78">
        <v>19.5217575</v>
      </c>
      <c r="E69" s="121">
        <v>20.975881000000001</v>
      </c>
      <c r="F69" s="1">
        <f t="shared" si="10"/>
        <v>20.468001366666666</v>
      </c>
      <c r="G69" s="2">
        <f t="shared" si="11"/>
        <v>0.66969704051533863</v>
      </c>
    </row>
    <row r="70" spans="1:7" x14ac:dyDescent="0.25">
      <c r="A70" s="166"/>
      <c r="B70" s="32">
        <v>0.7</v>
      </c>
      <c r="C70" s="78">
        <v>22.829132900000001</v>
      </c>
      <c r="D70" s="78">
        <v>21.092072900000002</v>
      </c>
      <c r="E70" s="121">
        <v>23.349659599999999</v>
      </c>
      <c r="F70" s="1">
        <f t="shared" si="10"/>
        <v>22.423621800000003</v>
      </c>
      <c r="G70" s="2">
        <f t="shared" si="11"/>
        <v>0.96523015085233344</v>
      </c>
    </row>
    <row r="71" spans="1:7" x14ac:dyDescent="0.25">
      <c r="A71" s="166"/>
      <c r="B71" s="32">
        <v>0.6</v>
      </c>
      <c r="C71" s="78">
        <v>26.456162800000001</v>
      </c>
      <c r="D71" s="78">
        <v>24.124787600000001</v>
      </c>
      <c r="E71" s="121">
        <v>28.500540099999998</v>
      </c>
      <c r="F71" s="1">
        <f t="shared" si="10"/>
        <v>26.360496833333332</v>
      </c>
      <c r="G71" s="2">
        <f t="shared" si="11"/>
        <v>1.787673808463158</v>
      </c>
    </row>
    <row r="72" spans="1:7" x14ac:dyDescent="0.25">
      <c r="A72" s="166"/>
      <c r="B72" s="32">
        <v>0.5</v>
      </c>
      <c r="C72" s="78">
        <v>35.996651499999999</v>
      </c>
      <c r="D72" s="78">
        <v>31.7436489</v>
      </c>
      <c r="E72" s="121">
        <v>41.7345592</v>
      </c>
      <c r="F72" s="1">
        <f t="shared" si="10"/>
        <v>36.491619866666667</v>
      </c>
      <c r="G72" s="2">
        <f t="shared" si="11"/>
        <v>4.0937608966704317</v>
      </c>
    </row>
    <row r="73" spans="1:7" x14ac:dyDescent="0.25">
      <c r="A73" s="166"/>
      <c r="B73" s="32">
        <v>0.4</v>
      </c>
      <c r="C73" s="78">
        <v>61.289102499999998</v>
      </c>
      <c r="D73" s="78">
        <v>52.943982499999997</v>
      </c>
      <c r="E73" s="121">
        <v>54.354545799999997</v>
      </c>
      <c r="F73" s="1">
        <f t="shared" si="10"/>
        <v>56.195876933333331</v>
      </c>
      <c r="G73" s="2">
        <f t="shared" si="11"/>
        <v>3.6472027830048033</v>
      </c>
    </row>
    <row r="74" spans="1:7" x14ac:dyDescent="0.25">
      <c r="A74" s="166"/>
      <c r="B74" s="32">
        <v>0.3</v>
      </c>
      <c r="C74" s="78">
        <v>64.647181500000002</v>
      </c>
      <c r="D74" s="78">
        <v>58.599135500000003</v>
      </c>
      <c r="E74" s="121">
        <v>55.051508300000002</v>
      </c>
      <c r="F74" s="1">
        <f t="shared" si="10"/>
        <v>59.432608433333336</v>
      </c>
      <c r="G74" s="2">
        <f t="shared" si="11"/>
        <v>3.9615017260502796</v>
      </c>
    </row>
    <row r="75" spans="1:7" x14ac:dyDescent="0.25">
      <c r="A75" s="166"/>
      <c r="B75" s="32">
        <v>0.2</v>
      </c>
      <c r="C75" s="78">
        <v>66.647081400000005</v>
      </c>
      <c r="D75" s="78">
        <v>60.067184900000001</v>
      </c>
      <c r="E75" s="121">
        <v>59.324255100000002</v>
      </c>
      <c r="F75" s="1">
        <f t="shared" si="10"/>
        <v>62.012840466666667</v>
      </c>
      <c r="G75" s="2">
        <f t="shared" si="11"/>
        <v>3.2909094936474808</v>
      </c>
    </row>
    <row r="76" spans="1:7" x14ac:dyDescent="0.25">
      <c r="A76" s="166"/>
      <c r="B76" s="32">
        <v>0.1</v>
      </c>
      <c r="C76" s="78">
        <v>113.23365</v>
      </c>
      <c r="D76" s="78">
        <v>105.583212</v>
      </c>
      <c r="E76" s="121">
        <v>112.228375</v>
      </c>
      <c r="F76" s="1">
        <f t="shared" si="10"/>
        <v>110.34841233333334</v>
      </c>
      <c r="G76" s="2">
        <f t="shared" si="11"/>
        <v>3.3944066854170858</v>
      </c>
    </row>
    <row r="77" spans="1:7" x14ac:dyDescent="0.25">
      <c r="A77" s="166"/>
      <c r="B77" s="32">
        <v>0.5</v>
      </c>
      <c r="C77" s="78">
        <v>17.426374500000001</v>
      </c>
      <c r="D77" s="78">
        <v>14.3020306</v>
      </c>
      <c r="E77" s="121">
        <v>17.476167199999999</v>
      </c>
      <c r="F77" s="1">
        <f t="shared" si="10"/>
        <v>16.4015241</v>
      </c>
      <c r="G77" s="2">
        <f t="shared" si="11"/>
        <v>1.4847052559683376</v>
      </c>
    </row>
    <row r="78" spans="1:7" ht="15.75" thickBot="1" x14ac:dyDescent="0.3">
      <c r="A78" s="167"/>
      <c r="B78" s="33">
        <v>0.2</v>
      </c>
      <c r="C78" s="81">
        <v>67.527319000000006</v>
      </c>
      <c r="D78" s="81">
        <v>47.683651400000002</v>
      </c>
      <c r="E78" s="122">
        <v>62.558163399999998</v>
      </c>
      <c r="F78" s="1">
        <f t="shared" si="10"/>
        <v>59.25637793333334</v>
      </c>
      <c r="G78" s="2">
        <f t="shared" si="11"/>
        <v>8.4308610238709836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2.9527200000000003E-2</v>
      </c>
      <c r="D80">
        <f t="shared" ref="D80:E80" si="12">D25</f>
        <v>2.9624448000000001E-2</v>
      </c>
      <c r="E80">
        <f t="shared" si="12"/>
        <v>2.9848704E-2</v>
      </c>
      <c r="F80" s="1">
        <f t="shared" ref="F80:F104" si="13">AVERAGE(C80:E80)</f>
        <v>2.9666784000000002E-2</v>
      </c>
      <c r="G80" s="2">
        <f t="shared" ref="G80:G104" si="14">_xlfn.STDEV.P(C80:E80)</f>
        <v>1.3462406465413111E-4</v>
      </c>
    </row>
    <row r="81" spans="1:7" ht="15.75" thickTop="1" x14ac:dyDescent="0.25">
      <c r="A81" s="161" t="s">
        <v>90</v>
      </c>
      <c r="B81" s="38" t="s">
        <v>73</v>
      </c>
      <c r="C81">
        <f>C33/C80</f>
        <v>186.81997412555202</v>
      </c>
      <c r="D81">
        <f t="shared" ref="D81:E81" si="15">D33/D80</f>
        <v>181.08315098394405</v>
      </c>
      <c r="E81">
        <f t="shared" si="15"/>
        <v>182.99555786408683</v>
      </c>
      <c r="F81" s="1">
        <f t="shared" si="13"/>
        <v>183.63289432452765</v>
      </c>
      <c r="G81" s="2">
        <f t="shared" si="14"/>
        <v>2.3850133839425438</v>
      </c>
    </row>
    <row r="82" spans="1:7" x14ac:dyDescent="0.25">
      <c r="A82" s="162"/>
      <c r="B82" s="38" t="s">
        <v>74</v>
      </c>
      <c r="C82">
        <f>C34/C80</f>
        <v>239.78713051017365</v>
      </c>
      <c r="D82">
        <f t="shared" ref="D82:E82" si="16">D34/D80</f>
        <v>168.19288953502189</v>
      </c>
      <c r="E82">
        <f t="shared" si="16"/>
        <v>168.39628179501528</v>
      </c>
      <c r="F82" s="1">
        <f t="shared" si="13"/>
        <v>192.12543394673693</v>
      </c>
      <c r="G82" s="2">
        <f t="shared" si="14"/>
        <v>33.702011132687701</v>
      </c>
    </row>
    <row r="83" spans="1:7" x14ac:dyDescent="0.25">
      <c r="A83" s="162"/>
      <c r="B83" s="38" t="s">
        <v>75</v>
      </c>
      <c r="C83">
        <f>C35/C80</f>
        <v>268.62797590018693</v>
      </c>
      <c r="D83">
        <f t="shared" ref="D83:E83" si="17">D35/D80</f>
        <v>160.43799364632886</v>
      </c>
      <c r="E83">
        <f t="shared" si="17"/>
        <v>160.63925388519382</v>
      </c>
      <c r="F83" s="1">
        <f t="shared" si="13"/>
        <v>196.56840781056988</v>
      </c>
      <c r="G83" s="2">
        <f t="shared" si="14"/>
        <v>50.953875491255516</v>
      </c>
    </row>
    <row r="84" spans="1:7" x14ac:dyDescent="0.25">
      <c r="A84" s="162"/>
      <c r="B84" s="38" t="s">
        <v>76</v>
      </c>
      <c r="C84">
        <f>C36/C80</f>
        <v>161.56846568587605</v>
      </c>
      <c r="D84">
        <f t="shared" ref="D84:E84" si="18">D36/D80</f>
        <v>161.07917690145652</v>
      </c>
      <c r="E84">
        <f t="shared" si="18"/>
        <v>161.22945404932824</v>
      </c>
      <c r="F84" s="1">
        <f t="shared" si="13"/>
        <v>161.29236554555362</v>
      </c>
      <c r="G84" s="2">
        <f t="shared" si="14"/>
        <v>0.20464484830663818</v>
      </c>
    </row>
    <row r="85" spans="1:7" x14ac:dyDescent="0.25">
      <c r="A85" s="162"/>
      <c r="B85" s="38" t="s">
        <v>77</v>
      </c>
      <c r="C85">
        <f>C37/C80</f>
        <v>162.11901771925545</v>
      </c>
      <c r="D85">
        <f t="shared" ref="D85:E85" si="19">D37/D80</f>
        <v>161.51463885504296</v>
      </c>
      <c r="E85">
        <f t="shared" si="19"/>
        <v>161.66091968348104</v>
      </c>
      <c r="F85" s="1">
        <f t="shared" si="13"/>
        <v>161.76485875259314</v>
      </c>
      <c r="G85" s="2">
        <f t="shared" si="14"/>
        <v>0.25745025466759552</v>
      </c>
    </row>
    <row r="86" spans="1:7" x14ac:dyDescent="0.25">
      <c r="A86" s="162"/>
      <c r="B86" s="38" t="s">
        <v>78</v>
      </c>
      <c r="C86">
        <f>C38/C80</f>
        <v>162.49231149584111</v>
      </c>
      <c r="D86">
        <f t="shared" ref="D86:E86" si="20">D38/D80</f>
        <v>161.89062932075561</v>
      </c>
      <c r="E86">
        <f t="shared" si="20"/>
        <v>162.00757292510923</v>
      </c>
      <c r="F86" s="1">
        <f t="shared" si="13"/>
        <v>162.13017124723532</v>
      </c>
      <c r="G86" s="2">
        <f t="shared" si="14"/>
        <v>0.26048431993116605</v>
      </c>
    </row>
    <row r="87" spans="1:7" x14ac:dyDescent="0.25">
      <c r="A87" s="162"/>
      <c r="B87" s="38" t="s">
        <v>79</v>
      </c>
      <c r="C87">
        <f>C39/C80</f>
        <v>163.41623012002492</v>
      </c>
      <c r="D87">
        <f t="shared" ref="D87:E87" si="21">D39/D80</f>
        <v>162.8124260745719</v>
      </c>
      <c r="E87">
        <f t="shared" si="21"/>
        <v>162.8874650638098</v>
      </c>
      <c r="F87" s="1">
        <f t="shared" si="13"/>
        <v>163.03870708613556</v>
      </c>
      <c r="G87" s="2">
        <f t="shared" si="14"/>
        <v>0.26870112679858338</v>
      </c>
    </row>
    <row r="88" spans="1:7" x14ac:dyDescent="0.25">
      <c r="A88" s="162"/>
      <c r="B88" s="38" t="s">
        <v>80</v>
      </c>
      <c r="C88">
        <f>C40/C80</f>
        <v>163.09801708255438</v>
      </c>
      <c r="D88">
        <f t="shared" ref="D88:E88" si="22">D40/D80</f>
        <v>162.51640671920705</v>
      </c>
      <c r="E88">
        <f t="shared" si="22"/>
        <v>162.54096124240436</v>
      </c>
      <c r="F88" s="1">
        <f t="shared" si="13"/>
        <v>162.71846168138859</v>
      </c>
      <c r="G88" s="2">
        <f t="shared" si="14"/>
        <v>0.26857333954055379</v>
      </c>
    </row>
    <row r="89" spans="1:7" x14ac:dyDescent="0.25">
      <c r="A89" s="162"/>
      <c r="B89" s="38" t="s">
        <v>80</v>
      </c>
      <c r="C89">
        <f>C41/C80</f>
        <v>156.53483838630143</v>
      </c>
      <c r="D89">
        <f t="shared" ref="D89:E89" si="23">D41/D80</f>
        <v>155.76730813684696</v>
      </c>
      <c r="E89">
        <f t="shared" si="23"/>
        <v>155.76240462567486</v>
      </c>
      <c r="F89" s="1">
        <f t="shared" si="13"/>
        <v>156.02151704960775</v>
      </c>
      <c r="G89" s="2">
        <f t="shared" si="14"/>
        <v>0.36297851831221128</v>
      </c>
    </row>
    <row r="90" spans="1:7" x14ac:dyDescent="0.25">
      <c r="A90" s="162"/>
      <c r="B90" s="38" t="s">
        <v>80</v>
      </c>
      <c r="C90">
        <f>C42/C80</f>
        <v>150.37608273049932</v>
      </c>
      <c r="D90">
        <f t="shared" ref="D90:E90" si="24">D42/D80</f>
        <v>149.4728509371719</v>
      </c>
      <c r="E90">
        <f t="shared" si="24"/>
        <v>149.66584076816198</v>
      </c>
      <c r="F90" s="1">
        <f t="shared" si="13"/>
        <v>149.83825814527771</v>
      </c>
      <c r="G90" s="2">
        <f t="shared" si="14"/>
        <v>0.38837501813579911</v>
      </c>
    </row>
    <row r="91" spans="1:7" x14ac:dyDescent="0.25">
      <c r="A91" s="162"/>
      <c r="B91" s="38" t="s">
        <v>80</v>
      </c>
      <c r="C91">
        <f>C43/C80</f>
        <v>133.26988268444009</v>
      </c>
      <c r="D91">
        <f t="shared" ref="D91:E91" si="25">D43/D80</f>
        <v>132.80900660157448</v>
      </c>
      <c r="E91">
        <f t="shared" si="25"/>
        <v>132.81130195803476</v>
      </c>
      <c r="F91" s="1">
        <f t="shared" si="13"/>
        <v>132.96339708134977</v>
      </c>
      <c r="G91" s="2">
        <f t="shared" si="14"/>
        <v>0.21672007419948403</v>
      </c>
    </row>
    <row r="92" spans="1:7" ht="15.75" thickBot="1" x14ac:dyDescent="0.3">
      <c r="A92" s="163"/>
      <c r="B92" s="39" t="s">
        <v>80</v>
      </c>
      <c r="C92">
        <f>C44/C80</f>
        <v>60.406008019724183</v>
      </c>
      <c r="D92">
        <f t="shared" ref="D92:E92" si="26">D44/D80</f>
        <v>66.858323233567077</v>
      </c>
      <c r="E92">
        <f t="shared" si="26"/>
        <v>53.058039638839929</v>
      </c>
      <c r="F92" s="1">
        <f t="shared" si="13"/>
        <v>60.107456964043728</v>
      </c>
      <c r="G92" s="2">
        <f t="shared" si="14"/>
        <v>5.6378959653024072</v>
      </c>
    </row>
    <row r="93" spans="1:7" ht="15.75" thickTop="1" x14ac:dyDescent="0.25">
      <c r="A93" s="161" t="s">
        <v>91</v>
      </c>
      <c r="B93" s="40" t="s">
        <v>73</v>
      </c>
      <c r="C93">
        <f>C45/C80</f>
        <v>158.18831484190846</v>
      </c>
      <c r="D93">
        <f t="shared" ref="D93:E93" si="27">D45/D80</f>
        <v>165.69299822903028</v>
      </c>
      <c r="E93">
        <f t="shared" si="27"/>
        <v>167.61233084022675</v>
      </c>
      <c r="F93" s="1">
        <f t="shared" si="13"/>
        <v>163.83121463705515</v>
      </c>
      <c r="G93" s="2">
        <f t="shared" si="14"/>
        <v>4.0663413524240317</v>
      </c>
    </row>
    <row r="94" spans="1:7" x14ac:dyDescent="0.25">
      <c r="A94" s="162"/>
      <c r="B94" s="38" t="s">
        <v>74</v>
      </c>
      <c r="C94">
        <f>C46/C80</f>
        <v>117.77304349887559</v>
      </c>
      <c r="D94">
        <f t="shared" ref="D94:E94" si="28">D46/D80</f>
        <v>159.95679109362646</v>
      </c>
      <c r="E94">
        <f t="shared" si="28"/>
        <v>160.17608637212524</v>
      </c>
      <c r="F94" s="1">
        <f t="shared" si="13"/>
        <v>145.96864032154244</v>
      </c>
      <c r="G94" s="2">
        <f t="shared" si="14"/>
        <v>19.937498718822539</v>
      </c>
    </row>
    <row r="95" spans="1:7" x14ac:dyDescent="0.25">
      <c r="A95" s="162"/>
      <c r="B95" s="38" t="s">
        <v>75</v>
      </c>
      <c r="C95">
        <f>C47/C80</f>
        <v>117.87109986724104</v>
      </c>
      <c r="D95">
        <f t="shared" ref="D95:E95" si="29">D47/D80</f>
        <v>160.6242951767405</v>
      </c>
      <c r="E95">
        <f t="shared" si="29"/>
        <v>160.77761332619332</v>
      </c>
      <c r="F95" s="1">
        <f t="shared" si="13"/>
        <v>146.42433612339161</v>
      </c>
      <c r="G95" s="2">
        <f t="shared" si="14"/>
        <v>20.190284002268704</v>
      </c>
    </row>
    <row r="96" spans="1:7" x14ac:dyDescent="0.25">
      <c r="A96" s="162"/>
      <c r="B96" s="38" t="s">
        <v>76</v>
      </c>
      <c r="C96">
        <f>C48/C80</f>
        <v>161.64279545639275</v>
      </c>
      <c r="D96">
        <f t="shared" ref="D96:E96" si="30">D48/D80</f>
        <v>161.08464873337047</v>
      </c>
      <c r="E96">
        <f t="shared" si="30"/>
        <v>161.23674280799594</v>
      </c>
      <c r="F96" s="1">
        <f t="shared" si="13"/>
        <v>161.32139566591971</v>
      </c>
      <c r="G96" s="2">
        <f t="shared" si="14"/>
        <v>0.23559360612592195</v>
      </c>
    </row>
    <row r="97" spans="1:7" x14ac:dyDescent="0.25">
      <c r="A97" s="162"/>
      <c r="B97" s="38" t="s">
        <v>77</v>
      </c>
      <c r="C97">
        <f>C49/C80</f>
        <v>162.01092010078841</v>
      </c>
      <c r="D97">
        <f t="shared" ref="D97:E97" si="31">D49/D80</f>
        <v>161.48797844267006</v>
      </c>
      <c r="E97">
        <f t="shared" si="31"/>
        <v>161.59844092393425</v>
      </c>
      <c r="F97" s="1">
        <f t="shared" si="13"/>
        <v>161.69911315579759</v>
      </c>
      <c r="G97" s="2">
        <f t="shared" si="14"/>
        <v>0.22504542971016736</v>
      </c>
    </row>
    <row r="98" spans="1:7" x14ac:dyDescent="0.25">
      <c r="A98" s="162"/>
      <c r="B98" s="38" t="s">
        <v>78</v>
      </c>
      <c r="C98">
        <f>C50/C80</f>
        <v>162.33820748326966</v>
      </c>
      <c r="D98">
        <f t="shared" ref="D98:E98" si="32">D50/D80</f>
        <v>161.82460007356084</v>
      </c>
      <c r="E98">
        <f t="shared" si="32"/>
        <v>161.89100940529949</v>
      </c>
      <c r="F98" s="1">
        <f t="shared" si="13"/>
        <v>162.01793898737665</v>
      </c>
      <c r="G98" s="2">
        <f t="shared" si="14"/>
        <v>0.22808109951164851</v>
      </c>
    </row>
    <row r="99" spans="1:7" x14ac:dyDescent="0.25">
      <c r="A99" s="162"/>
      <c r="B99" s="38" t="s">
        <v>79</v>
      </c>
      <c r="C99">
        <f>C51/C80</f>
        <v>163.13807404698039</v>
      </c>
      <c r="D99">
        <f t="shared" ref="D99:E99" si="33">D51/D80</f>
        <v>162.6288307549224</v>
      </c>
      <c r="E99">
        <f t="shared" si="33"/>
        <v>162.63646589145043</v>
      </c>
      <c r="F99" s="1">
        <f t="shared" si="13"/>
        <v>162.80112356445107</v>
      </c>
      <c r="G99" s="2">
        <f t="shared" si="14"/>
        <v>0.23828035949976434</v>
      </c>
    </row>
    <row r="100" spans="1:7" x14ac:dyDescent="0.25">
      <c r="A100" s="162"/>
      <c r="B100" s="38" t="s">
        <v>82</v>
      </c>
      <c r="C100">
        <f>C52/C80</f>
        <v>155.91963003603456</v>
      </c>
      <c r="D100">
        <f t="shared" ref="D100:E100" si="34">D52/D80</f>
        <v>155.39624434521107</v>
      </c>
      <c r="E100">
        <f t="shared" si="34"/>
        <v>155.38370979188912</v>
      </c>
      <c r="F100" s="1">
        <f t="shared" si="13"/>
        <v>155.56652805771159</v>
      </c>
      <c r="G100" s="2">
        <f t="shared" si="14"/>
        <v>0.249733236445673</v>
      </c>
    </row>
    <row r="101" spans="1:7" x14ac:dyDescent="0.25">
      <c r="A101" s="162"/>
      <c r="B101" s="38" t="s">
        <v>83</v>
      </c>
      <c r="C101">
        <f>C53/C80</f>
        <v>149.95016459400145</v>
      </c>
      <c r="D101">
        <f t="shared" ref="D101:E101" si="35">D53/D80</f>
        <v>149.19132839200918</v>
      </c>
      <c r="E101">
        <f t="shared" si="35"/>
        <v>149.38562960723522</v>
      </c>
      <c r="F101" s="1">
        <f t="shared" si="13"/>
        <v>149.50904086441528</v>
      </c>
      <c r="G101" s="2">
        <f t="shared" si="14"/>
        <v>0.3218497052586145</v>
      </c>
    </row>
    <row r="102" spans="1:7" x14ac:dyDescent="0.25">
      <c r="A102" s="162"/>
      <c r="B102" s="38" t="s">
        <v>84</v>
      </c>
      <c r="C102">
        <f>C54/C80</f>
        <v>140.16915488092332</v>
      </c>
      <c r="D102">
        <f t="shared" ref="D102:E102" si="36">D54/D80</f>
        <v>139.41933500330538</v>
      </c>
      <c r="E102">
        <f t="shared" si="36"/>
        <v>139.21783304226543</v>
      </c>
      <c r="F102" s="1">
        <f t="shared" si="13"/>
        <v>139.6021076421647</v>
      </c>
      <c r="G102" s="2">
        <f t="shared" si="14"/>
        <v>0.40931462089168763</v>
      </c>
    </row>
    <row r="103" spans="1:7" x14ac:dyDescent="0.25">
      <c r="A103" s="162"/>
      <c r="B103" s="38" t="s">
        <v>85</v>
      </c>
      <c r="C103">
        <f>C55/C80</f>
        <v>60.17552155300875</v>
      </c>
      <c r="D103">
        <f t="shared" ref="D103:E103" si="37">D55/D80</f>
        <v>66.729927592237331</v>
      </c>
      <c r="E103">
        <f t="shared" si="37"/>
        <v>52.944199185331463</v>
      </c>
      <c r="F103" s="1">
        <f t="shared" si="13"/>
        <v>59.949882776859177</v>
      </c>
      <c r="G103" s="2">
        <f t="shared" si="14"/>
        <v>5.6302611881522013</v>
      </c>
    </row>
    <row r="104" spans="1:7" ht="15.75" thickBot="1" x14ac:dyDescent="0.3">
      <c r="A104" s="163"/>
      <c r="B104" s="39" t="s">
        <v>86</v>
      </c>
      <c r="C104">
        <f>C56/C80</f>
        <v>13.442710111354952</v>
      </c>
      <c r="D104">
        <f t="shared" ref="D104:E104" si="38">D56/D80</f>
        <v>17.232107751003493</v>
      </c>
      <c r="E104">
        <f t="shared" si="38"/>
        <v>14.002774123794453</v>
      </c>
      <c r="F104" s="1">
        <f t="shared" si="13"/>
        <v>14.892530662050966</v>
      </c>
      <c r="G104" s="2">
        <f t="shared" si="14"/>
        <v>1.6700566139847166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0.368862522771229</v>
      </c>
      <c r="D106">
        <f t="shared" ref="D106:E106" si="39">D55/D51</f>
        <v>0.41032040433714773</v>
      </c>
      <c r="E106">
        <f t="shared" si="39"/>
        <v>0.32553707371302798</v>
      </c>
      <c r="F106" s="1">
        <f>AVERAGE(C106:E106)</f>
        <v>0.36824000027380155</v>
      </c>
      <c r="G106" s="2">
        <f>_xlfn.STDEV.P(C106:E106)</f>
        <v>3.4615448753647103E-2</v>
      </c>
    </row>
    <row r="107" spans="1:7" ht="15.75" thickBot="1" x14ac:dyDescent="0.3">
      <c r="A107" s="36"/>
      <c r="B107" s="39" t="s">
        <v>94</v>
      </c>
      <c r="C107">
        <f>(1-C45/C33)*100</f>
        <v>15.325801974686982</v>
      </c>
      <c r="D107">
        <f t="shared" ref="D107:E107" si="40">(1-D45/D33)*100</f>
        <v>8.4989424313023818</v>
      </c>
      <c r="E107">
        <f t="shared" si="40"/>
        <v>8.4063390409101597</v>
      </c>
      <c r="F107" s="1">
        <f>AVERAGE(C107:E107)</f>
        <v>10.743694482299842</v>
      </c>
      <c r="G107" s="2">
        <f>_xlfn.STDEV.P(C107:E107)</f>
        <v>3.2402598302009458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9.8009448000000009E-3</v>
      </c>
      <c r="D110">
        <f t="shared" ref="D110:E110" si="41">D16*D21/10^4</f>
        <v>9.8009448000000009E-3</v>
      </c>
      <c r="E110">
        <f t="shared" si="41"/>
        <v>9.8009448000000009E-3</v>
      </c>
      <c r="F110" s="1">
        <f t="shared" ref="F110:F134" si="42">AVERAGE(C110:E110)</f>
        <v>9.8009448000000009E-3</v>
      </c>
      <c r="G110" s="2">
        <f t="shared" ref="G110:G134" si="43">_xlfn.STDEV.P(C110:E110)</f>
        <v>0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562.83050793225561</v>
      </c>
      <c r="D111">
        <f t="shared" ref="D111:E111" si="44">D33/D110</f>
        <v>547.34400605949736</v>
      </c>
      <c r="E111">
        <f t="shared" si="44"/>
        <v>557.3116012244044</v>
      </c>
      <c r="F111" s="1">
        <f t="shared" si="42"/>
        <v>555.82870507205246</v>
      </c>
      <c r="G111" s="2">
        <f t="shared" si="43"/>
        <v>6.4087008986601628</v>
      </c>
    </row>
    <row r="112" spans="1:7" x14ac:dyDescent="0.25">
      <c r="A112" s="162"/>
      <c r="B112" s="38" t="s">
        <v>74</v>
      </c>
      <c r="C112">
        <f>C34/C110</f>
        <v>722.40408496127839</v>
      </c>
      <c r="D112">
        <f t="shared" ref="D112:E112" si="45">D34/D110</f>
        <v>508.38175417537298</v>
      </c>
      <c r="E112">
        <f t="shared" si="45"/>
        <v>512.84961527382541</v>
      </c>
      <c r="F112" s="1">
        <f t="shared" si="42"/>
        <v>581.21181813682551</v>
      </c>
      <c r="G112" s="2">
        <f t="shared" si="43"/>
        <v>99.85466974214566</v>
      </c>
    </row>
    <row r="113" spans="1:7" x14ac:dyDescent="0.25">
      <c r="A113" s="162"/>
      <c r="B113" s="38" t="s">
        <v>75</v>
      </c>
      <c r="C113">
        <f>C35/C110</f>
        <v>809.2925867718385</v>
      </c>
      <c r="D113">
        <f t="shared" ref="D113:E113" si="46">D35/D110</f>
        <v>484.94171704752381</v>
      </c>
      <c r="E113">
        <f t="shared" si="46"/>
        <v>489.22564485823852</v>
      </c>
      <c r="F113" s="1">
        <f t="shared" si="42"/>
        <v>594.48664955920037</v>
      </c>
      <c r="G113" s="2">
        <f t="shared" si="43"/>
        <v>151.90080317040596</v>
      </c>
    </row>
    <row r="114" spans="1:7" x14ac:dyDescent="0.25">
      <c r="A114" s="162"/>
      <c r="B114" s="38" t="s">
        <v>76</v>
      </c>
      <c r="C114">
        <f>C36/C110</f>
        <v>486.75556258617024</v>
      </c>
      <c r="D114">
        <f t="shared" ref="D114:E114" si="47">D36/D110</f>
        <v>486.87976489776776</v>
      </c>
      <c r="E114">
        <f t="shared" si="47"/>
        <v>491.0230950387558</v>
      </c>
      <c r="F114" s="1">
        <f t="shared" si="42"/>
        <v>488.21947417423127</v>
      </c>
      <c r="G114" s="2">
        <f t="shared" si="43"/>
        <v>1.9831076651810084</v>
      </c>
    </row>
    <row r="115" spans="1:7" x14ac:dyDescent="0.25">
      <c r="A115" s="162"/>
      <c r="B115" s="38" t="s">
        <v>77</v>
      </c>
      <c r="C115">
        <f>C37/C110</f>
        <v>488.41420472034486</v>
      </c>
      <c r="D115">
        <f t="shared" ref="D115:E115" si="48">D37/D110</f>
        <v>488.19599718590388</v>
      </c>
      <c r="E115">
        <f t="shared" si="48"/>
        <v>492.33712039680086</v>
      </c>
      <c r="F115" s="1">
        <f t="shared" si="42"/>
        <v>489.64910743434984</v>
      </c>
      <c r="G115" s="2">
        <f t="shared" si="43"/>
        <v>1.9027986225119611</v>
      </c>
    </row>
    <row r="116" spans="1:7" x14ac:dyDescent="0.25">
      <c r="A116" s="162"/>
      <c r="B116" s="38" t="s">
        <v>78</v>
      </c>
      <c r="C116">
        <f>C38/C110</f>
        <v>489.53882282859092</v>
      </c>
      <c r="D116">
        <f t="shared" ref="D116:E116" si="49">D38/D110</f>
        <v>489.33247027368213</v>
      </c>
      <c r="E116">
        <f t="shared" si="49"/>
        <v>493.39285024847806</v>
      </c>
      <c r="F116" s="1">
        <f t="shared" si="42"/>
        <v>490.75471445025033</v>
      </c>
      <c r="G116" s="2">
        <f t="shared" si="43"/>
        <v>1.8673449443255279</v>
      </c>
    </row>
    <row r="117" spans="1:7" x14ac:dyDescent="0.25">
      <c r="A117" s="162"/>
      <c r="B117" s="38" t="s">
        <v>79</v>
      </c>
      <c r="C117">
        <f>C39/C110</f>
        <v>492.32230243761802</v>
      </c>
      <c r="D117">
        <f t="shared" ref="D117:E117" si="50">D39/D110</f>
        <v>492.1187036988515</v>
      </c>
      <c r="E117">
        <f t="shared" si="50"/>
        <v>496.07255516835471</v>
      </c>
      <c r="F117" s="1">
        <f t="shared" si="42"/>
        <v>493.50452043494141</v>
      </c>
      <c r="G117" s="2">
        <f t="shared" si="43"/>
        <v>1.8177760965200791</v>
      </c>
    </row>
    <row r="118" spans="1:7" x14ac:dyDescent="0.25">
      <c r="A118" s="162"/>
      <c r="B118" s="38" t="s">
        <v>80</v>
      </c>
      <c r="C118">
        <f>C40/C110</f>
        <v>491.36362547414814</v>
      </c>
      <c r="D118">
        <f t="shared" ref="D118:E118" si="51">D40/D110</f>
        <v>491.22395220509759</v>
      </c>
      <c r="E118">
        <f t="shared" si="51"/>
        <v>495.01728037484708</v>
      </c>
      <c r="F118" s="1">
        <f t="shared" si="42"/>
        <v>492.5349526846976</v>
      </c>
      <c r="G118" s="2">
        <f t="shared" si="43"/>
        <v>1.7561966910502818</v>
      </c>
    </row>
    <row r="119" spans="1:7" x14ac:dyDescent="0.25">
      <c r="A119" s="162"/>
      <c r="B119" s="38" t="s">
        <v>80</v>
      </c>
      <c r="C119">
        <f>C41/C110</f>
        <v>471.59080826575001</v>
      </c>
      <c r="D119">
        <f t="shared" ref="D119:E119" si="52">D41/D110</f>
        <v>470.82404953448975</v>
      </c>
      <c r="E119">
        <f t="shared" si="52"/>
        <v>474.37323695568608</v>
      </c>
      <c r="F119" s="1">
        <f t="shared" si="42"/>
        <v>472.26269825197528</v>
      </c>
      <c r="G119" s="2">
        <f t="shared" si="43"/>
        <v>1.524851895078539</v>
      </c>
    </row>
    <row r="120" spans="1:7" x14ac:dyDescent="0.25">
      <c r="A120" s="162"/>
      <c r="B120" s="38" t="s">
        <v>80</v>
      </c>
      <c r="C120">
        <f>C42/C110</f>
        <v>453.03639196090558</v>
      </c>
      <c r="D120">
        <f t="shared" ref="D120:E120" si="53">D42/D110</f>
        <v>451.79835111406805</v>
      </c>
      <c r="E120">
        <f t="shared" si="53"/>
        <v>455.80619737803232</v>
      </c>
      <c r="F120" s="1">
        <f t="shared" si="42"/>
        <v>453.54698015100195</v>
      </c>
      <c r="G120" s="2">
        <f t="shared" si="43"/>
        <v>1.6755562546594349</v>
      </c>
    </row>
    <row r="121" spans="1:7" x14ac:dyDescent="0.25">
      <c r="A121" s="162"/>
      <c r="B121" s="38" t="s">
        <v>80</v>
      </c>
      <c r="C121">
        <f>C43/C110</f>
        <v>401.50072878688178</v>
      </c>
      <c r="D121">
        <f t="shared" ref="D121:E121" si="54">D43/D110</f>
        <v>401.43002437887412</v>
      </c>
      <c r="E121">
        <f t="shared" si="54"/>
        <v>404.47582563672836</v>
      </c>
      <c r="F121" s="1">
        <f t="shared" si="42"/>
        <v>402.46885960082813</v>
      </c>
      <c r="G121" s="2">
        <f t="shared" si="43"/>
        <v>1.4194328163673609</v>
      </c>
    </row>
    <row r="122" spans="1:7" ht="15.75" thickBot="1" x14ac:dyDescent="0.3">
      <c r="A122" s="163"/>
      <c r="B122" s="39" t="s">
        <v>80</v>
      </c>
      <c r="C122">
        <f>C44/C110</f>
        <v>181.98452459399627</v>
      </c>
      <c r="D122">
        <f t="shared" ref="D122:E122" si="55">D44/D110</f>
        <v>202.08673351573205</v>
      </c>
      <c r="E122">
        <f t="shared" si="55"/>
        <v>161.58786242730392</v>
      </c>
      <c r="F122" s="1">
        <f t="shared" si="42"/>
        <v>181.88637351234408</v>
      </c>
      <c r="G122" s="2">
        <f t="shared" si="43"/>
        <v>16.533740554502526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476.57221883343323</v>
      </c>
      <c r="D123">
        <f t="shared" ref="D123:E123" si="56">D45/D110</f>
        <v>500.82555408331649</v>
      </c>
      <c r="E123">
        <f t="shared" si="56"/>
        <v>510.46209851115572</v>
      </c>
      <c r="F123" s="1">
        <f t="shared" si="42"/>
        <v>495.95329047596852</v>
      </c>
      <c r="G123" s="2">
        <f t="shared" si="43"/>
        <v>14.257984912257479</v>
      </c>
    </row>
    <row r="124" spans="1:7" x14ac:dyDescent="0.25">
      <c r="A124" s="162"/>
      <c r="B124" s="38" t="s">
        <v>74</v>
      </c>
      <c r="C124">
        <f>C46/C110</f>
        <v>354.81356960606485</v>
      </c>
      <c r="D124">
        <f t="shared" ref="D124:E124" si="57">D46/D110</f>
        <v>483.48722870064523</v>
      </c>
      <c r="E124">
        <f t="shared" si="57"/>
        <v>487.81507166533572</v>
      </c>
      <c r="F124" s="1">
        <f t="shared" si="42"/>
        <v>442.0386233240153</v>
      </c>
      <c r="G124" s="2">
        <f t="shared" si="43"/>
        <v>61.702728482384053</v>
      </c>
    </row>
    <row r="125" spans="1:7" x14ac:dyDescent="0.25">
      <c r="A125" s="162"/>
      <c r="B125" s="38" t="s">
        <v>75</v>
      </c>
      <c r="C125">
        <f>C47/C110</f>
        <v>355.10898296254049</v>
      </c>
      <c r="D125">
        <f t="shared" ref="D125:E125" si="58">D47/D110</f>
        <v>485.50483418700611</v>
      </c>
      <c r="E125">
        <f t="shared" si="58"/>
        <v>489.64701749978224</v>
      </c>
      <c r="F125" s="1">
        <f t="shared" si="42"/>
        <v>443.42027821644297</v>
      </c>
      <c r="G125" s="2">
        <f t="shared" si="43"/>
        <v>62.468408403584554</v>
      </c>
    </row>
    <row r="126" spans="1:7" x14ac:dyDescent="0.25">
      <c r="A126" s="162"/>
      <c r="B126" s="38" t="s">
        <v>76</v>
      </c>
      <c r="C126">
        <f>C48/C110</f>
        <v>486.97949507888256</v>
      </c>
      <c r="D126">
        <f t="shared" ref="D126:E126" si="59">D48/D110</f>
        <v>486.89630411957825</v>
      </c>
      <c r="E126">
        <f t="shared" si="59"/>
        <v>491.04529289870089</v>
      </c>
      <c r="F126" s="1">
        <f t="shared" si="42"/>
        <v>488.30703069905388</v>
      </c>
      <c r="G126" s="2">
        <f t="shared" si="43"/>
        <v>1.9365416063073504</v>
      </c>
    </row>
    <row r="127" spans="1:7" x14ac:dyDescent="0.25">
      <c r="A127" s="162"/>
      <c r="B127" s="38" t="s">
        <v>77</v>
      </c>
      <c r="C127">
        <f>C49/C110</f>
        <v>488.08854019869591</v>
      </c>
      <c r="D127">
        <f t="shared" ref="D127:E127" si="60">D49/D110</f>
        <v>488.11541311813119</v>
      </c>
      <c r="E127">
        <f t="shared" si="60"/>
        <v>492.14684180243512</v>
      </c>
      <c r="F127" s="1">
        <f t="shared" si="42"/>
        <v>489.45026503975413</v>
      </c>
      <c r="G127" s="2">
        <f t="shared" si="43"/>
        <v>1.9067992756140315</v>
      </c>
    </row>
    <row r="128" spans="1:7" x14ac:dyDescent="0.25">
      <c r="A128" s="162"/>
      <c r="B128" s="38" t="s">
        <v>78</v>
      </c>
      <c r="C128">
        <f>C50/C110</f>
        <v>489.07455534286851</v>
      </c>
      <c r="D128">
        <f t="shared" ref="D128:E128" si="61">D50/D110</f>
        <v>489.13288951489648</v>
      </c>
      <c r="E128">
        <f t="shared" si="61"/>
        <v>493.03785692171226</v>
      </c>
      <c r="F128" s="1">
        <f t="shared" si="42"/>
        <v>490.41510059315914</v>
      </c>
      <c r="G128" s="2">
        <f t="shared" si="43"/>
        <v>1.8547216840864769</v>
      </c>
    </row>
    <row r="129" spans="1:7" x14ac:dyDescent="0.25">
      <c r="A129" s="162"/>
      <c r="B129" s="38" t="s">
        <v>79</v>
      </c>
      <c r="C129">
        <f>C51/C110</f>
        <v>491.48430465601638</v>
      </c>
      <c r="D129">
        <f t="shared" ref="D129:E129" si="62">D51/D110</f>
        <v>491.56376638301236</v>
      </c>
      <c r="E129">
        <f t="shared" si="62"/>
        <v>495.30813906838853</v>
      </c>
      <c r="F129" s="1">
        <f t="shared" si="42"/>
        <v>492.78540336913903</v>
      </c>
      <c r="G129" s="2">
        <f t="shared" si="43"/>
        <v>1.784138465798915</v>
      </c>
    </row>
    <row r="130" spans="1:7" x14ac:dyDescent="0.25">
      <c r="A130" s="162"/>
      <c r="B130" s="38" t="s">
        <v>82</v>
      </c>
      <c r="C130">
        <f>C52/C110</f>
        <v>469.73737674759678</v>
      </c>
      <c r="D130">
        <f t="shared" ref="D130:E130" si="63">D52/D110</f>
        <v>469.70246786819979</v>
      </c>
      <c r="E130">
        <f t="shared" si="63"/>
        <v>473.21992467501696</v>
      </c>
      <c r="F130" s="1">
        <f t="shared" si="42"/>
        <v>470.88658976360449</v>
      </c>
      <c r="G130" s="2">
        <f t="shared" si="43"/>
        <v>1.6499784875521424</v>
      </c>
    </row>
    <row r="131" spans="1:7" x14ac:dyDescent="0.25">
      <c r="A131" s="162"/>
      <c r="B131" s="38" t="s">
        <v>83</v>
      </c>
      <c r="C131">
        <f>C53/C110</f>
        <v>451.75323301484156</v>
      </c>
      <c r="D131">
        <f t="shared" ref="D131:E131" si="64">D53/D110</f>
        <v>450.94741784485916</v>
      </c>
      <c r="E131">
        <f t="shared" si="64"/>
        <v>454.95281638562028</v>
      </c>
      <c r="F131" s="1">
        <f t="shared" si="42"/>
        <v>452.55115574844035</v>
      </c>
      <c r="G131" s="2">
        <f t="shared" si="43"/>
        <v>1.7298005442204674</v>
      </c>
    </row>
    <row r="132" spans="1:7" x14ac:dyDescent="0.25">
      <c r="A132" s="162"/>
      <c r="B132" s="38" t="s">
        <v>84</v>
      </c>
      <c r="C132">
        <f>C54/C110</f>
        <v>422.28609123479595</v>
      </c>
      <c r="D132">
        <f t="shared" ref="D132:E132" si="65">D54/D110</f>
        <v>421.41047871221554</v>
      </c>
      <c r="E132">
        <f t="shared" si="65"/>
        <v>423.98686808235055</v>
      </c>
      <c r="F132" s="1">
        <f t="shared" si="42"/>
        <v>422.56114600978736</v>
      </c>
      <c r="G132" s="2">
        <f t="shared" si="43"/>
        <v>1.0696376001775418</v>
      </c>
    </row>
    <row r="133" spans="1:7" x14ac:dyDescent="0.25">
      <c r="A133" s="162"/>
      <c r="B133" s="38" t="s">
        <v>85</v>
      </c>
      <c r="C133">
        <f>C55/C110</f>
        <v>181.2901405178815</v>
      </c>
      <c r="D133">
        <f t="shared" ref="D133:E133" si="66">D55/D110</f>
        <v>201.69864337976884</v>
      </c>
      <c r="E133">
        <f t="shared" si="66"/>
        <v>161.24116217856871</v>
      </c>
      <c r="F133" s="1">
        <f t="shared" si="42"/>
        <v>181.40998202540638</v>
      </c>
      <c r="G133" s="2">
        <f t="shared" si="43"/>
        <v>16.516914921307386</v>
      </c>
    </row>
    <row r="134" spans="1:7" ht="15.75" thickBot="1" x14ac:dyDescent="0.3">
      <c r="A134" s="163"/>
      <c r="B134" s="39" t="s">
        <v>86</v>
      </c>
      <c r="C134">
        <f>C56/C110</f>
        <v>40.498706818550794</v>
      </c>
      <c r="D134">
        <f t="shared" ref="D134:E134" si="67">D56/D110</f>
        <v>52.08596624276467</v>
      </c>
      <c r="E134">
        <f t="shared" si="67"/>
        <v>42.645343742778749</v>
      </c>
      <c r="F134" s="1">
        <f t="shared" si="42"/>
        <v>45.076672268031409</v>
      </c>
      <c r="G134" s="2">
        <f t="shared" si="43"/>
        <v>5.0332007072563005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DD016</v>
      </c>
      <c r="D137" s="68" t="str">
        <f>D1</f>
        <v>DD017</v>
      </c>
      <c r="E137" s="68" t="str">
        <f>E1</f>
        <v>DD018</v>
      </c>
    </row>
    <row r="138" spans="1:7" ht="14.45" customHeight="1" x14ac:dyDescent="0.25">
      <c r="A138" s="172"/>
      <c r="B138" s="69" t="s">
        <v>100</v>
      </c>
      <c r="C138" s="68">
        <f>C25</f>
        <v>2.9527200000000003E-2</v>
      </c>
      <c r="D138" s="68">
        <f t="shared" ref="D138:E138" si="68">D25</f>
        <v>2.9624448000000001E-2</v>
      </c>
      <c r="E138" s="68">
        <f t="shared" si="68"/>
        <v>2.9848704E-2</v>
      </c>
      <c r="F138" s="1">
        <f>AVERAGE(C138:E138)</f>
        <v>2.9666784000000002E-2</v>
      </c>
      <c r="G138" s="2">
        <f>_xlfn.STDEV.P(C138:E138)</f>
        <v>1.3462406465413111E-4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57</v>
      </c>
      <c r="D142" s="68">
        <f t="shared" ref="D142:E142" si="69">D21</f>
        <v>57</v>
      </c>
      <c r="E142" s="68">
        <f t="shared" si="69"/>
        <v>57</v>
      </c>
      <c r="F142" s="1">
        <f>AVERAGE(C142:E142)</f>
        <v>57</v>
      </c>
      <c r="G142" s="2">
        <f>_xlfn.STDEV.P(C142:E142)</f>
        <v>0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 t="shared" ref="D143:E143" si="70">D16</f>
        <v>1.7194640000000001</v>
      </c>
      <c r="E143" s="68">
        <f t="shared" si="70"/>
        <v>1.7194640000000001</v>
      </c>
      <c r="F143" s="1">
        <f>AVERAGE(C143:E143)</f>
        <v>1.7194640000000001</v>
      </c>
      <c r="G143" s="2">
        <f>_xlfn.STDEV.P(C143:E143)</f>
        <v>0</v>
      </c>
    </row>
    <row r="144" spans="1:7" ht="14.45" customHeight="1" x14ac:dyDescent="0.25">
      <c r="A144" s="172"/>
      <c r="B144" s="69" t="s">
        <v>106</v>
      </c>
      <c r="C144" s="68">
        <f>C22</f>
        <v>178.87841792558612</v>
      </c>
      <c r="D144" s="68">
        <f t="shared" ref="D144:E144" si="71">D22</f>
        <v>179.46755500551333</v>
      </c>
      <c r="E144" s="68">
        <f t="shared" si="71"/>
        <v>180.8261179065104</v>
      </c>
      <c r="F144" s="1">
        <f>AVERAGE(C144:E144)</f>
        <v>179.72403027920328</v>
      </c>
      <c r="G144" s="2">
        <f>_xlfn.STDEV.P(C144:E144)</f>
        <v>0.8155646217739243</v>
      </c>
    </row>
    <row r="145" spans="1:7" ht="14.45" customHeight="1" x14ac:dyDescent="0.25">
      <c r="A145" s="172"/>
      <c r="B145" s="69" t="s">
        <v>107</v>
      </c>
      <c r="C145" s="68">
        <f>C24</f>
        <v>29.604803536482372</v>
      </c>
      <c r="D145" s="68">
        <f t="shared" ref="D145:E145" si="72">D24</f>
        <v>29.372956559265305</v>
      </c>
      <c r="E145" s="68">
        <f t="shared" si="72"/>
        <v>28.838312394626499</v>
      </c>
      <c r="F145" s="1">
        <f>AVERAGE(C145:E145)</f>
        <v>29.27202416345806</v>
      </c>
      <c r="G145" s="2">
        <f>_xlfn.STDEV.P(C145:E145)</f>
        <v>0.3209544921308139</v>
      </c>
    </row>
    <row r="146" spans="1:7" ht="14.45" customHeight="1" thickBot="1" x14ac:dyDescent="0.3">
      <c r="A146" s="173"/>
      <c r="B146" s="70" t="s">
        <v>108</v>
      </c>
      <c r="C146" s="68">
        <v>120</v>
      </c>
      <c r="D146" s="68">
        <v>120</v>
      </c>
      <c r="E146" s="68">
        <v>120</v>
      </c>
      <c r="F146" s="1">
        <f>AVERAGE(C146:E146)</f>
        <v>120</v>
      </c>
      <c r="G146" s="2">
        <f>_xlfn.STDEV.P(C146:E146)</f>
        <v>0</v>
      </c>
    </row>
    <row r="148" spans="1:7" x14ac:dyDescent="0.25">
      <c r="A148" s="168" t="s">
        <v>109</v>
      </c>
      <c r="B148" s="94" t="s">
        <v>110</v>
      </c>
      <c r="C148" s="97">
        <v>4.97</v>
      </c>
      <c r="D148" s="97">
        <v>4.97</v>
      </c>
      <c r="E148" s="97">
        <v>5</v>
      </c>
      <c r="F148" s="1">
        <f>AVERAGE(C148:E148)</f>
        <v>4.9799999999999995</v>
      </c>
      <c r="G148" s="2">
        <f>_xlfn.STDEV.P(C148:E148)</f>
        <v>1.4142135623731067E-2</v>
      </c>
    </row>
    <row r="149" spans="1:7" x14ac:dyDescent="0.25">
      <c r="A149" s="169"/>
      <c r="B149" s="95" t="s">
        <v>111</v>
      </c>
      <c r="C149" s="97">
        <v>4.62</v>
      </c>
      <c r="D149" s="97">
        <v>4.63</v>
      </c>
      <c r="E149" s="97">
        <v>4.6500000000000004</v>
      </c>
      <c r="F149" s="1">
        <f>AVERAGE(C149:E149)</f>
        <v>4.6333333333333337</v>
      </c>
      <c r="G149" s="2">
        <f>_xlfn.STDEV.P(C149:E149)</f>
        <v>1.2472191289246601E-2</v>
      </c>
    </row>
    <row r="150" spans="1:7" x14ac:dyDescent="0.25">
      <c r="A150" s="169"/>
      <c r="B150" s="95" t="s">
        <v>112</v>
      </c>
      <c r="C150" s="97">
        <v>4.1100000000000003</v>
      </c>
      <c r="D150" s="97">
        <v>4.09</v>
      </c>
      <c r="E150" s="97">
        <v>4.45</v>
      </c>
      <c r="F150" s="1">
        <f>AVERAGE(C150:E150)</f>
        <v>4.2166666666666659</v>
      </c>
      <c r="G150" s="2">
        <f>_xlfn.STDEV.P(C150:E150)</f>
        <v>0.16519348924485161</v>
      </c>
    </row>
    <row r="151" spans="1:7" ht="15.75" thickBot="1" x14ac:dyDescent="0.3">
      <c r="A151" s="170"/>
      <c r="B151" s="96" t="s">
        <v>113</v>
      </c>
      <c r="C151" s="97">
        <v>4.6399999999999997</v>
      </c>
      <c r="D151" s="97">
        <v>4.75</v>
      </c>
      <c r="E151" s="97">
        <v>4.84</v>
      </c>
      <c r="F151" s="1">
        <f>AVERAGE(C151:E151)</f>
        <v>4.7433333333333332</v>
      </c>
      <c r="G151" s="2">
        <f>_xlfn.STDEV.P(C151:E151)</f>
        <v>8.178562764256872E-2</v>
      </c>
    </row>
  </sheetData>
  <mergeCells count="11">
    <mergeCell ref="A81:A92"/>
    <mergeCell ref="A1:A30"/>
    <mergeCell ref="A33:A44"/>
    <mergeCell ref="A45:A56"/>
    <mergeCell ref="A57:A67"/>
    <mergeCell ref="A68:A78"/>
    <mergeCell ref="A148:A151"/>
    <mergeCell ref="A137:A146"/>
    <mergeCell ref="A93:A104"/>
    <mergeCell ref="A111:A122"/>
    <mergeCell ref="A123:A13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1"/>
  <sheetViews>
    <sheetView workbookViewId="0">
      <pane ySplit="1" topLeftCell="A144" activePane="bottomLeft" state="frozen"/>
      <selection pane="bottomLeft" activeCell="A153" sqref="A153:XFD153"/>
    </sheetView>
  </sheetViews>
  <sheetFormatPr defaultRowHeight="15" x14ac:dyDescent="0.25"/>
  <cols>
    <col min="1" max="1" width="14.28515625" customWidth="1"/>
    <col min="2" max="2" width="43.140625" style="27" customWidth="1"/>
    <col min="3" max="5" width="15.2851562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t="s">
        <v>233</v>
      </c>
      <c r="D1" t="s">
        <v>234</v>
      </c>
      <c r="E1" t="s">
        <v>235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0.9</v>
      </c>
      <c r="D5" s="8">
        <v>0.9</v>
      </c>
      <c r="E5" s="8">
        <v>0.9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t="s">
        <v>236</v>
      </c>
      <c r="D8" t="s">
        <v>237</v>
      </c>
      <c r="E8" t="s">
        <v>238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3.6785100000000001E-2</v>
      </c>
      <c r="D12" s="8">
        <v>3.6917600000000002E-2</v>
      </c>
      <c r="E12" s="8">
        <v>3.6669100000000003E-2</v>
      </c>
      <c r="F12" s="1">
        <f t="shared" ref="F12:F25" si="0">AVERAGE(C12:E12)</f>
        <v>3.6790600000000007E-2</v>
      </c>
      <c r="G12" s="2">
        <f t="shared" ref="G12:G25" si="1">_xlfn.STDEV.P(C12:E12)</f>
        <v>1.0152421714382518E-4</v>
      </c>
    </row>
    <row r="13" spans="1:7" x14ac:dyDescent="0.25">
      <c r="A13" s="164"/>
      <c r="B13" s="21" t="s">
        <v>49</v>
      </c>
      <c r="C13" s="8">
        <v>79</v>
      </c>
      <c r="D13" s="8">
        <v>79</v>
      </c>
      <c r="E13" s="8">
        <v>78</v>
      </c>
      <c r="F13" s="1">
        <f t="shared" si="0"/>
        <v>78.666666666666671</v>
      </c>
      <c r="G13" s="2">
        <f t="shared" si="1"/>
        <v>0.47140452079103168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3.1215100000000003E-2</v>
      </c>
      <c r="D18" s="11">
        <f t="shared" ref="D18:E18" si="2">D12-D14</f>
        <v>3.1347600000000003E-2</v>
      </c>
      <c r="E18" s="11">
        <f t="shared" si="2"/>
        <v>3.1099100000000005E-2</v>
      </c>
      <c r="F18" s="1">
        <f t="shared" si="0"/>
        <v>3.1220600000000001E-2</v>
      </c>
      <c r="G18" s="2">
        <f t="shared" si="1"/>
        <v>1.0152421714382518E-4</v>
      </c>
    </row>
    <row r="19" spans="1:7" x14ac:dyDescent="0.25">
      <c r="A19" s="164"/>
      <c r="B19" s="23" t="s">
        <v>55</v>
      </c>
      <c r="C19" s="12">
        <f>C18*C10/100*C11</f>
        <v>4.9444718400000012</v>
      </c>
      <c r="D19" s="12">
        <f t="shared" ref="D19:E19" si="3">D18*D10/100*D11</f>
        <v>4.9654598400000003</v>
      </c>
      <c r="E19" s="12">
        <f t="shared" si="3"/>
        <v>4.9260974400000004</v>
      </c>
      <c r="F19" s="1">
        <f t="shared" si="0"/>
        <v>4.9453430400000009</v>
      </c>
      <c r="G19" s="2">
        <f t="shared" si="1"/>
        <v>1.6081435995581934E-2</v>
      </c>
    </row>
    <row r="20" spans="1:7" x14ac:dyDescent="0.25">
      <c r="A20" s="164"/>
      <c r="B20" s="23" t="s">
        <v>56</v>
      </c>
      <c r="C20" s="12">
        <f>C19/C16</f>
        <v>2.8755890440276741</v>
      </c>
      <c r="D20" s="12">
        <f t="shared" ref="D20:E20" si="4">D19/D16</f>
        <v>2.8877951733796112</v>
      </c>
      <c r="E20" s="12">
        <f t="shared" si="4"/>
        <v>2.8649029232365435</v>
      </c>
      <c r="F20" s="1">
        <f t="shared" si="0"/>
        <v>2.8760957135479432</v>
      </c>
      <c r="G20" s="2">
        <f t="shared" si="1"/>
        <v>9.3525866174470028E-3</v>
      </c>
    </row>
    <row r="21" spans="1:7" x14ac:dyDescent="0.25">
      <c r="A21" s="164"/>
      <c r="B21" s="22" t="s">
        <v>57</v>
      </c>
      <c r="C21" s="13">
        <f>C13-C15</f>
        <v>66</v>
      </c>
      <c r="D21" s="13">
        <f t="shared" ref="D21:E21" si="5">D13-D15</f>
        <v>66</v>
      </c>
      <c r="E21" s="13">
        <f t="shared" si="5"/>
        <v>65</v>
      </c>
      <c r="F21" s="1">
        <f t="shared" si="0"/>
        <v>65.666666666666671</v>
      </c>
      <c r="G21" s="2">
        <f t="shared" si="1"/>
        <v>0.47140452079103168</v>
      </c>
    </row>
    <row r="22" spans="1:7" x14ac:dyDescent="0.25">
      <c r="A22" s="164"/>
      <c r="B22" s="22" t="s">
        <v>58</v>
      </c>
      <c r="C22" s="13">
        <f>C18/(C16/10^4)</f>
        <v>181.53971237548447</v>
      </c>
      <c r="D22" s="13">
        <f t="shared" ref="D22:E22" si="6">D18/(D16/10^4)</f>
        <v>182.31030134972295</v>
      </c>
      <c r="E22" s="13">
        <f t="shared" si="6"/>
        <v>180.86508353766061</v>
      </c>
      <c r="F22" s="1">
        <f t="shared" si="0"/>
        <v>181.5716990876227</v>
      </c>
      <c r="G22" s="2">
        <f t="shared" si="1"/>
        <v>0.5904410743337688</v>
      </c>
    </row>
    <row r="23" spans="1:7" x14ac:dyDescent="0.25">
      <c r="A23" s="164"/>
      <c r="B23" s="22" t="s">
        <v>59</v>
      </c>
      <c r="C23" s="13">
        <f>C18/C16/(C21/10^4)</f>
        <v>2.7506017026588552</v>
      </c>
      <c r="D23" s="13">
        <f t="shared" ref="D23:E23" si="7">D18/D16/(D21/10^4)</f>
        <v>2.7622772931776205</v>
      </c>
      <c r="E23" s="13">
        <f t="shared" si="7"/>
        <v>2.78253974673324</v>
      </c>
      <c r="F23" s="1">
        <f t="shared" si="0"/>
        <v>2.7651395808565717</v>
      </c>
      <c r="G23" s="2">
        <f t="shared" si="1"/>
        <v>1.3194801574664287E-2</v>
      </c>
    </row>
    <row r="24" spans="1:7" x14ac:dyDescent="0.25">
      <c r="A24" s="164"/>
      <c r="B24" s="22" t="s">
        <v>60</v>
      </c>
      <c r="C24" s="13">
        <f>(1-C23/C17)*100</f>
        <v>38.299647764494047</v>
      </c>
      <c r="D24" s="13">
        <f t="shared" ref="D24:E24" si="8">(1-D23/D17)*100</f>
        <v>38.037745778877962</v>
      </c>
      <c r="E24" s="13">
        <f t="shared" si="8"/>
        <v>37.583226856589505</v>
      </c>
      <c r="F24" s="1">
        <f t="shared" si="0"/>
        <v>37.973540133320505</v>
      </c>
      <c r="G24" s="2">
        <f t="shared" si="1"/>
        <v>0.29598029552858129</v>
      </c>
    </row>
    <row r="25" spans="1:7" x14ac:dyDescent="0.25">
      <c r="A25" s="164"/>
      <c r="B25" s="24" t="s">
        <v>61</v>
      </c>
      <c r="C25" s="14">
        <f>(C18*C10)/100</f>
        <v>2.9966496000000006E-2</v>
      </c>
      <c r="D25" s="14">
        <f t="shared" ref="D25:E25" si="9">(D18*D10)/100</f>
        <v>3.0093696000000003E-2</v>
      </c>
      <c r="E25" s="14">
        <f t="shared" si="9"/>
        <v>2.9855136000000004E-2</v>
      </c>
      <c r="F25" s="1">
        <f t="shared" si="0"/>
        <v>2.9971776000000006E-2</v>
      </c>
      <c r="G25" s="2">
        <f t="shared" si="1"/>
        <v>9.7463248458072108E-5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65</v>
      </c>
      <c r="D28" t="s">
        <v>65</v>
      </c>
      <c r="E28" t="s">
        <v>239</v>
      </c>
    </row>
    <row r="29" spans="1:7" x14ac:dyDescent="0.25">
      <c r="A29" s="164"/>
      <c r="B29" s="18" t="s">
        <v>67</v>
      </c>
      <c r="C29" t="s">
        <v>240</v>
      </c>
      <c r="D29" t="s">
        <v>241</v>
      </c>
      <c r="E29" t="s">
        <v>242</v>
      </c>
    </row>
    <row r="30" spans="1:7" x14ac:dyDescent="0.25">
      <c r="A30" s="164"/>
      <c r="B30" s="25" t="s">
        <v>71</v>
      </c>
      <c r="C30">
        <v>3.2309999999999999</v>
      </c>
      <c r="D30">
        <v>3.2389999999999999</v>
      </c>
      <c r="E30">
        <v>3.2410000000000001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5.4739201900000003</v>
      </c>
      <c r="D33" s="76">
        <v>5.4671849899999998</v>
      </c>
      <c r="E33" s="118">
        <v>5.4480802400000004</v>
      </c>
      <c r="F33" s="1">
        <f t="shared" ref="F33:F78" si="10">AVERAGE(C33:E33)</f>
        <v>5.4630618066666665</v>
      </c>
      <c r="G33" s="2">
        <f t="shared" ref="G33:G78" si="11">_xlfn.STDEV.P(C33:E33)</f>
        <v>1.0944594848625217E-2</v>
      </c>
    </row>
    <row r="34" spans="1:7" x14ac:dyDescent="0.25">
      <c r="A34" s="166"/>
      <c r="B34" s="29" t="s">
        <v>74</v>
      </c>
      <c r="C34" s="78">
        <v>4.9671159600000001</v>
      </c>
      <c r="D34" s="79">
        <v>4.9819283099999998</v>
      </c>
      <c r="E34" s="114">
        <v>4.9572705299999997</v>
      </c>
      <c r="F34" s="1">
        <f t="shared" si="10"/>
        <v>4.9687716000000002</v>
      </c>
      <c r="G34" s="2">
        <f t="shared" si="11"/>
        <v>1.0134343803433957E-2</v>
      </c>
    </row>
    <row r="35" spans="1:7" x14ac:dyDescent="0.25">
      <c r="A35" s="166"/>
      <c r="B35" s="29" t="s">
        <v>75</v>
      </c>
      <c r="C35" s="78">
        <v>4.7228891500000003</v>
      </c>
      <c r="D35" s="79">
        <v>4.7406342700000001</v>
      </c>
      <c r="E35" s="114">
        <v>4.7133568500000003</v>
      </c>
      <c r="F35" s="1">
        <f t="shared" si="10"/>
        <v>4.7256267566666672</v>
      </c>
      <c r="G35" s="2">
        <f t="shared" si="11"/>
        <v>1.1302957670749472E-2</v>
      </c>
    </row>
    <row r="36" spans="1:7" x14ac:dyDescent="0.25">
      <c r="A36" s="166"/>
      <c r="B36" s="29" t="s">
        <v>76</v>
      </c>
      <c r="C36" s="78">
        <v>4.7488356400000002</v>
      </c>
      <c r="D36" s="79">
        <v>4.7644002499999996</v>
      </c>
      <c r="E36" s="114">
        <v>4.7380035300000003</v>
      </c>
      <c r="F36" s="1">
        <f t="shared" si="10"/>
        <v>4.75041314</v>
      </c>
      <c r="G36" s="2">
        <f t="shared" si="11"/>
        <v>1.0833992381299696E-2</v>
      </c>
    </row>
    <row r="37" spans="1:7" x14ac:dyDescent="0.25">
      <c r="A37" s="166"/>
      <c r="B37" s="29" t="s">
        <v>77</v>
      </c>
      <c r="C37" s="78">
        <v>4.7677660800000004</v>
      </c>
      <c r="D37" s="79">
        <v>4.7797791500000004</v>
      </c>
      <c r="E37" s="114">
        <v>4.7530430900000002</v>
      </c>
      <c r="F37" s="1">
        <f t="shared" si="10"/>
        <v>4.766862773333334</v>
      </c>
      <c r="G37" s="2">
        <f t="shared" si="11"/>
        <v>1.0933623927482771E-2</v>
      </c>
    </row>
    <row r="38" spans="1:7" x14ac:dyDescent="0.25">
      <c r="A38" s="166"/>
      <c r="B38" s="29" t="s">
        <v>78</v>
      </c>
      <c r="C38" s="78">
        <v>4.78100492</v>
      </c>
      <c r="D38" s="79">
        <v>4.7937125600000003</v>
      </c>
      <c r="E38" s="114">
        <v>4.7669444399999996</v>
      </c>
      <c r="F38" s="1">
        <f t="shared" si="10"/>
        <v>4.7805539733333333</v>
      </c>
      <c r="G38" s="2">
        <f t="shared" si="11"/>
        <v>1.0932690329336235E-2</v>
      </c>
    </row>
    <row r="39" spans="1:7" x14ac:dyDescent="0.25">
      <c r="A39" s="166"/>
      <c r="B39" s="29" t="s">
        <v>79</v>
      </c>
      <c r="C39" s="78">
        <v>4.8185624000000002</v>
      </c>
      <c r="D39" s="79">
        <v>4.8284266300000001</v>
      </c>
      <c r="E39" s="114">
        <v>4.8022397699999999</v>
      </c>
      <c r="F39" s="1">
        <f t="shared" si="10"/>
        <v>4.8164096000000001</v>
      </c>
      <c r="G39" s="2">
        <f t="shared" si="11"/>
        <v>1.0798574598680529E-2</v>
      </c>
    </row>
    <row r="40" spans="1:7" x14ac:dyDescent="0.25">
      <c r="A40" s="166"/>
      <c r="B40" s="29" t="s">
        <v>80</v>
      </c>
      <c r="C40" s="78">
        <v>4.8066125599999996</v>
      </c>
      <c r="D40" s="79">
        <v>4.8167762999999999</v>
      </c>
      <c r="E40" s="114">
        <v>4.7534128100000004</v>
      </c>
      <c r="F40" s="1">
        <f t="shared" si="10"/>
        <v>4.792267223333333</v>
      </c>
      <c r="G40" s="2">
        <f t="shared" si="11"/>
        <v>2.7785781487480371E-2</v>
      </c>
    </row>
    <row r="41" spans="1:7" x14ac:dyDescent="0.25">
      <c r="A41" s="166"/>
      <c r="B41" s="29" t="s">
        <v>80</v>
      </c>
      <c r="C41" s="78">
        <v>4.5811277099999996</v>
      </c>
      <c r="D41" s="79">
        <v>4.5920336800000001</v>
      </c>
      <c r="E41" s="114">
        <v>4.5880139700000004</v>
      </c>
      <c r="F41" s="1">
        <f t="shared" si="10"/>
        <v>4.5870584533333334</v>
      </c>
      <c r="G41" s="2">
        <f t="shared" si="11"/>
        <v>4.5033176278114874E-3</v>
      </c>
    </row>
    <row r="42" spans="1:7" x14ac:dyDescent="0.25">
      <c r="A42" s="166"/>
      <c r="B42" s="29" t="s">
        <v>80</v>
      </c>
      <c r="C42" s="78">
        <v>4.2660235899999996</v>
      </c>
      <c r="D42" s="79">
        <v>4.2187227099999998</v>
      </c>
      <c r="E42" s="114">
        <v>4.3336395100000003</v>
      </c>
      <c r="F42" s="1">
        <f t="shared" si="10"/>
        <v>4.2727952699999996</v>
      </c>
      <c r="G42" s="2">
        <f t="shared" si="11"/>
        <v>4.7158311166232612E-2</v>
      </c>
    </row>
    <row r="43" spans="1:7" x14ac:dyDescent="0.25">
      <c r="A43" s="166"/>
      <c r="B43" s="29" t="s">
        <v>80</v>
      </c>
      <c r="C43" s="78">
        <v>3.93549529</v>
      </c>
      <c r="D43" s="79">
        <v>3.9439573700000001</v>
      </c>
      <c r="E43" s="114">
        <v>3.9233224299999998</v>
      </c>
      <c r="F43" s="1">
        <f t="shared" si="10"/>
        <v>3.9342583633333335</v>
      </c>
      <c r="G43" s="2">
        <f t="shared" si="11"/>
        <v>8.4694619224968751E-3</v>
      </c>
    </row>
    <row r="44" spans="1:7" ht="15.75" thickBot="1" x14ac:dyDescent="0.3">
      <c r="A44" s="167"/>
      <c r="B44" s="30" t="s">
        <v>80</v>
      </c>
      <c r="C44" s="81">
        <v>1.0146139700000001</v>
      </c>
      <c r="D44" s="82">
        <v>0.61727491999999995</v>
      </c>
      <c r="E44" s="115">
        <v>0.88972613</v>
      </c>
      <c r="F44" s="1">
        <f t="shared" si="10"/>
        <v>0.84053834000000005</v>
      </c>
      <c r="G44" s="2">
        <f t="shared" si="11"/>
        <v>0.16589988783909973</v>
      </c>
    </row>
    <row r="45" spans="1:7" ht="15.75" thickTop="1" x14ac:dyDescent="0.25">
      <c r="A45" s="165" t="s">
        <v>81</v>
      </c>
      <c r="B45" s="28" t="s">
        <v>73</v>
      </c>
      <c r="C45" s="78">
        <v>4.9524972199999997</v>
      </c>
      <c r="D45" s="79">
        <v>4.9573846399999999</v>
      </c>
      <c r="E45" s="114">
        <v>4.9404290399999997</v>
      </c>
      <c r="F45" s="1">
        <f t="shared" si="10"/>
        <v>4.9501036333333328</v>
      </c>
      <c r="G45" s="2">
        <f t="shared" si="11"/>
        <v>7.1260103699117465E-3</v>
      </c>
    </row>
    <row r="46" spans="1:7" x14ac:dyDescent="0.25">
      <c r="A46" s="166"/>
      <c r="B46" s="29" t="s">
        <v>74</v>
      </c>
      <c r="C46" s="78">
        <v>4.7132271299999999</v>
      </c>
      <c r="D46" s="79">
        <v>4.7299257800000003</v>
      </c>
      <c r="E46" s="114">
        <v>4.7031865100000001</v>
      </c>
      <c r="F46" s="1">
        <f t="shared" si="10"/>
        <v>4.7154464733333334</v>
      </c>
      <c r="G46" s="2">
        <f t="shared" si="11"/>
        <v>1.1028485954008273E-2</v>
      </c>
    </row>
    <row r="47" spans="1:7" x14ac:dyDescent="0.25">
      <c r="A47" s="166"/>
      <c r="B47" s="29" t="s">
        <v>75</v>
      </c>
      <c r="C47" s="78">
        <v>4.7389598399999997</v>
      </c>
      <c r="D47" s="79">
        <v>4.75357232</v>
      </c>
      <c r="E47" s="114">
        <v>4.7275206799999996</v>
      </c>
      <c r="F47" s="1">
        <f t="shared" si="10"/>
        <v>4.7400176133333334</v>
      </c>
      <c r="G47" s="2">
        <f t="shared" si="11"/>
        <v>1.0661805662924028E-2</v>
      </c>
    </row>
    <row r="48" spans="1:7" x14ac:dyDescent="0.25">
      <c r="A48" s="166"/>
      <c r="B48" s="29" t="s">
        <v>76</v>
      </c>
      <c r="C48" s="78">
        <v>4.75856484</v>
      </c>
      <c r="D48" s="79">
        <v>4.7694707699999999</v>
      </c>
      <c r="E48" s="114">
        <v>4.74313948</v>
      </c>
      <c r="F48" s="1">
        <f t="shared" si="10"/>
        <v>4.757058363333333</v>
      </c>
      <c r="G48" s="2">
        <f t="shared" si="11"/>
        <v>1.080235505885737E-2</v>
      </c>
    </row>
    <row r="49" spans="1:7" x14ac:dyDescent="0.25">
      <c r="A49" s="166"/>
      <c r="B49" s="29" t="s">
        <v>77</v>
      </c>
      <c r="C49" s="78">
        <v>4.77220493</v>
      </c>
      <c r="D49" s="79">
        <v>4.7837125</v>
      </c>
      <c r="E49" s="114">
        <v>4.7575315500000004</v>
      </c>
      <c r="F49" s="1">
        <f t="shared" si="10"/>
        <v>4.7711496599999998</v>
      </c>
      <c r="G49" s="2">
        <f t="shared" si="11"/>
        <v>1.0714343402041183E-2</v>
      </c>
    </row>
    <row r="50" spans="1:7" x14ac:dyDescent="0.25">
      <c r="A50" s="166"/>
      <c r="B50" s="29" t="s">
        <v>78</v>
      </c>
      <c r="C50" s="78">
        <v>4.7859345800000002</v>
      </c>
      <c r="D50" s="79">
        <v>4.7966201999999996</v>
      </c>
      <c r="E50" s="114">
        <v>4.7696974299999999</v>
      </c>
      <c r="F50" s="1">
        <f t="shared" si="10"/>
        <v>4.7840840699999996</v>
      </c>
      <c r="G50" s="2">
        <f t="shared" si="11"/>
        <v>1.1068790254985595E-2</v>
      </c>
    </row>
    <row r="51" spans="1:7" x14ac:dyDescent="0.25">
      <c r="A51" s="166"/>
      <c r="B51" s="29" t="s">
        <v>79</v>
      </c>
      <c r="C51" s="78">
        <v>4.8215872299999996</v>
      </c>
      <c r="D51" s="79">
        <v>4.8286998900000002</v>
      </c>
      <c r="E51" s="114">
        <v>4.8039136200000003</v>
      </c>
      <c r="F51" s="1">
        <f t="shared" si="10"/>
        <v>4.8180669133333334</v>
      </c>
      <c r="G51" s="2">
        <f t="shared" si="11"/>
        <v>1.042062913018945E-2</v>
      </c>
    </row>
    <row r="52" spans="1:7" x14ac:dyDescent="0.25">
      <c r="A52" s="166"/>
      <c r="B52" s="29" t="s">
        <v>82</v>
      </c>
      <c r="C52" s="78">
        <v>4.57504475</v>
      </c>
      <c r="D52" s="79">
        <v>4.5823978399999996</v>
      </c>
      <c r="E52" s="114">
        <v>4.5446625599999999</v>
      </c>
      <c r="F52" s="1">
        <f t="shared" si="10"/>
        <v>4.5673683833333323</v>
      </c>
      <c r="G52" s="2">
        <f t="shared" si="11"/>
        <v>1.6333662440298553E-2</v>
      </c>
    </row>
    <row r="53" spans="1:7" x14ac:dyDescent="0.25">
      <c r="A53" s="166"/>
      <c r="B53" s="29" t="s">
        <v>83</v>
      </c>
      <c r="C53" s="78">
        <v>4.2609107000000002</v>
      </c>
      <c r="D53" s="79">
        <v>4.2117303100000001</v>
      </c>
      <c r="E53" s="114">
        <v>4.3278946500000002</v>
      </c>
      <c r="F53" s="1">
        <f t="shared" si="10"/>
        <v>4.2668452200000004</v>
      </c>
      <c r="G53" s="2">
        <f t="shared" si="11"/>
        <v>4.7609189362500914E-2</v>
      </c>
    </row>
    <row r="54" spans="1:7" x14ac:dyDescent="0.25">
      <c r="A54" s="166"/>
      <c r="B54" s="29" t="s">
        <v>84</v>
      </c>
      <c r="C54" s="78">
        <v>3.5728411499999999</v>
      </c>
      <c r="D54" s="79">
        <v>3.2649203400000002</v>
      </c>
      <c r="E54" s="114">
        <v>3.5958598199999998</v>
      </c>
      <c r="F54" s="1">
        <f t="shared" si="10"/>
        <v>3.47787377</v>
      </c>
      <c r="G54" s="2">
        <f t="shared" si="11"/>
        <v>0.15087376026271285</v>
      </c>
    </row>
    <row r="55" spans="1:7" x14ac:dyDescent="0.25">
      <c r="A55" s="166"/>
      <c r="B55" s="29" t="s">
        <v>85</v>
      </c>
      <c r="C55" s="78">
        <v>1.01137915</v>
      </c>
      <c r="D55" s="79">
        <v>0.61274742999999998</v>
      </c>
      <c r="E55" s="114">
        <v>0.88725326999999998</v>
      </c>
      <c r="F55" s="1">
        <f t="shared" si="10"/>
        <v>0.83712661666666666</v>
      </c>
      <c r="G55" s="2">
        <f t="shared" si="11"/>
        <v>0.1665559427106294</v>
      </c>
    </row>
    <row r="56" spans="1:7" ht="15.75" thickBot="1" x14ac:dyDescent="0.3">
      <c r="A56" s="167"/>
      <c r="B56" s="30" t="s">
        <v>86</v>
      </c>
      <c r="C56" s="90">
        <v>2.6763000000000001E-5</v>
      </c>
      <c r="D56" s="91">
        <v>2.6815999999999999E-5</v>
      </c>
      <c r="E56" s="132">
        <v>2.6638000000000001E-5</v>
      </c>
      <c r="F56" s="1">
        <f t="shared" si="10"/>
        <v>2.6738999999999999E-5</v>
      </c>
      <c r="G56" s="2">
        <f t="shared" si="11"/>
        <v>7.4623499426564829E-8</v>
      </c>
    </row>
    <row r="57" spans="1:7" ht="15.75" thickTop="1" x14ac:dyDescent="0.25">
      <c r="A57" s="165" t="s">
        <v>87</v>
      </c>
      <c r="B57" s="31">
        <v>0.9</v>
      </c>
      <c r="C57" s="84">
        <v>78.560153499999998</v>
      </c>
      <c r="D57" s="85">
        <v>90.370662400000001</v>
      </c>
      <c r="E57" s="112">
        <v>83.554390499999997</v>
      </c>
      <c r="F57" s="1">
        <f t="shared" si="10"/>
        <v>84.161735466666656</v>
      </c>
      <c r="G57" s="2">
        <f t="shared" si="11"/>
        <v>4.8407080095544091</v>
      </c>
    </row>
    <row r="58" spans="1:7" x14ac:dyDescent="0.25">
      <c r="A58" s="166"/>
      <c r="B58" s="32">
        <v>0.8</v>
      </c>
      <c r="C58" s="87">
        <v>80.492752600000003</v>
      </c>
      <c r="D58" s="88">
        <v>90.917450900000006</v>
      </c>
      <c r="E58" s="119">
        <v>85.621436799999998</v>
      </c>
      <c r="F58" s="1">
        <f t="shared" si="10"/>
        <v>85.67721343333335</v>
      </c>
      <c r="G58" s="2">
        <f t="shared" si="11"/>
        <v>4.2560480053781697</v>
      </c>
    </row>
    <row r="59" spans="1:7" x14ac:dyDescent="0.25">
      <c r="A59" s="166"/>
      <c r="B59" s="32">
        <v>0.7</v>
      </c>
      <c r="C59" s="78">
        <v>83.919767899999997</v>
      </c>
      <c r="D59" s="79">
        <v>92.807667100000003</v>
      </c>
      <c r="E59" s="114">
        <v>89.109648300000003</v>
      </c>
      <c r="F59" s="1">
        <f t="shared" si="10"/>
        <v>88.612361100000001</v>
      </c>
      <c r="G59" s="2">
        <f t="shared" si="11"/>
        <v>3.6454683253598641</v>
      </c>
    </row>
    <row r="60" spans="1:7" x14ac:dyDescent="0.25">
      <c r="A60" s="166"/>
      <c r="B60" s="32">
        <v>0.6</v>
      </c>
      <c r="C60" s="78">
        <v>90.542198400000004</v>
      </c>
      <c r="D60" s="79">
        <v>96.646196099999997</v>
      </c>
      <c r="E60" s="114">
        <v>95.0782569</v>
      </c>
      <c r="F60" s="1">
        <f t="shared" si="10"/>
        <v>94.088883800000005</v>
      </c>
      <c r="G60" s="2">
        <f t="shared" si="11"/>
        <v>2.5882866055435216</v>
      </c>
    </row>
    <row r="61" spans="1:7" x14ac:dyDescent="0.25">
      <c r="A61" s="166"/>
      <c r="B61" s="32">
        <v>0.5</v>
      </c>
      <c r="C61" s="78">
        <v>104.276354</v>
      </c>
      <c r="D61" s="79">
        <v>105.181815</v>
      </c>
      <c r="E61" s="114">
        <v>107.21326999999999</v>
      </c>
      <c r="F61" s="1">
        <f t="shared" si="10"/>
        <v>105.55714633333332</v>
      </c>
      <c r="G61" s="2">
        <f t="shared" si="11"/>
        <v>1.2280130577753987</v>
      </c>
    </row>
    <row r="62" spans="1:7" x14ac:dyDescent="0.25">
      <c r="A62" s="166"/>
      <c r="B62" s="32">
        <v>0.4</v>
      </c>
      <c r="C62" s="78">
        <v>127.853476</v>
      </c>
      <c r="D62" s="79">
        <v>130.55558099999999</v>
      </c>
      <c r="E62" s="114">
        <v>133.48070100000001</v>
      </c>
      <c r="F62" s="1">
        <f t="shared" si="10"/>
        <v>130.62991933333333</v>
      </c>
      <c r="G62" s="2">
        <f t="shared" si="11"/>
        <v>2.2979062848614116</v>
      </c>
    </row>
    <row r="63" spans="1:7" x14ac:dyDescent="0.25">
      <c r="A63" s="166"/>
      <c r="B63" s="32">
        <v>0.3</v>
      </c>
      <c r="C63" s="78">
        <v>141.32559900000001</v>
      </c>
      <c r="D63" s="79">
        <v>150.23321000000001</v>
      </c>
      <c r="E63" s="114">
        <v>146.01094800000001</v>
      </c>
      <c r="F63" s="1">
        <f t="shared" si="10"/>
        <v>145.85658566666666</v>
      </c>
      <c r="G63" s="2">
        <f t="shared" si="11"/>
        <v>3.6381546814554535</v>
      </c>
    </row>
    <row r="64" spans="1:7" x14ac:dyDescent="0.25">
      <c r="A64" s="166"/>
      <c r="B64" s="32">
        <v>0.2</v>
      </c>
      <c r="C64" s="78">
        <v>149.05662100000001</v>
      </c>
      <c r="D64" s="79">
        <v>159.27789300000001</v>
      </c>
      <c r="E64" s="114">
        <v>152.06183799999999</v>
      </c>
      <c r="F64" s="1">
        <f t="shared" si="10"/>
        <v>153.46545066666667</v>
      </c>
      <c r="G64" s="2">
        <f t="shared" si="11"/>
        <v>4.2892265591064582</v>
      </c>
    </row>
    <row r="65" spans="1:7" x14ac:dyDescent="0.25">
      <c r="A65" s="166"/>
      <c r="B65" s="32">
        <v>0.1</v>
      </c>
      <c r="C65" s="78">
        <v>158.90077700000001</v>
      </c>
      <c r="D65" s="79">
        <v>169.13100800000001</v>
      </c>
      <c r="E65" s="114">
        <v>160.88774699999999</v>
      </c>
      <c r="F65" s="1">
        <f t="shared" si="10"/>
        <v>162.97317733333333</v>
      </c>
      <c r="G65" s="2">
        <f t="shared" si="11"/>
        <v>4.4291587865515636</v>
      </c>
    </row>
    <row r="66" spans="1:7" x14ac:dyDescent="0.25">
      <c r="A66" s="166"/>
      <c r="B66" s="32">
        <v>0.5</v>
      </c>
      <c r="C66" s="78">
        <v>84.829761099999999</v>
      </c>
      <c r="D66" s="79">
        <v>97.242190699999995</v>
      </c>
      <c r="E66" s="114">
        <v>89.394560299999995</v>
      </c>
      <c r="F66" s="1">
        <f t="shared" si="10"/>
        <v>90.488837366666658</v>
      </c>
      <c r="G66" s="2">
        <f t="shared" si="11"/>
        <v>5.1260890789316482</v>
      </c>
    </row>
    <row r="67" spans="1:7" ht="15.75" thickBot="1" x14ac:dyDescent="0.3">
      <c r="A67" s="167"/>
      <c r="B67" s="33">
        <v>0.2</v>
      </c>
      <c r="C67" s="81">
        <v>131.91133199999999</v>
      </c>
      <c r="D67" s="82">
        <v>140.84882400000001</v>
      </c>
      <c r="E67" s="115">
        <v>137.607451</v>
      </c>
      <c r="F67" s="1">
        <f t="shared" si="10"/>
        <v>136.78920233333335</v>
      </c>
      <c r="G67" s="2">
        <f t="shared" si="11"/>
        <v>3.6943054352063189</v>
      </c>
    </row>
    <row r="68" spans="1:7" ht="15.75" thickTop="1" x14ac:dyDescent="0.25">
      <c r="A68" s="165" t="s">
        <v>88</v>
      </c>
      <c r="B68" s="31">
        <v>0.9</v>
      </c>
      <c r="C68" s="78">
        <v>81.165344599999997</v>
      </c>
      <c r="D68" s="79">
        <v>93.542835400000001</v>
      </c>
      <c r="E68" s="114">
        <v>86.500484099999994</v>
      </c>
      <c r="F68" s="1">
        <f t="shared" si="10"/>
        <v>87.069554699999983</v>
      </c>
      <c r="G68" s="2">
        <f t="shared" si="11"/>
        <v>5.0690860870482659</v>
      </c>
    </row>
    <row r="69" spans="1:7" x14ac:dyDescent="0.25">
      <c r="A69" s="166"/>
      <c r="B69" s="32">
        <v>0.8</v>
      </c>
      <c r="C69" s="78">
        <v>84.045483200000007</v>
      </c>
      <c r="D69" s="79">
        <v>95.651744899999997</v>
      </c>
      <c r="E69" s="114">
        <v>89.595462400000002</v>
      </c>
      <c r="F69" s="1">
        <f t="shared" si="10"/>
        <v>89.764230166666678</v>
      </c>
      <c r="G69" s="2">
        <f t="shared" si="11"/>
        <v>4.739739063248166</v>
      </c>
    </row>
    <row r="70" spans="1:7" x14ac:dyDescent="0.25">
      <c r="A70" s="166"/>
      <c r="B70" s="32">
        <v>0.7</v>
      </c>
      <c r="C70" s="78">
        <v>89.118829899999994</v>
      </c>
      <c r="D70" s="79">
        <v>99.915556499999994</v>
      </c>
      <c r="E70" s="114">
        <v>94.678184000000002</v>
      </c>
      <c r="F70" s="1">
        <f t="shared" si="10"/>
        <v>94.570856800000001</v>
      </c>
      <c r="G70" s="2">
        <f t="shared" si="11"/>
        <v>4.4083984744788944</v>
      </c>
    </row>
    <row r="71" spans="1:7" x14ac:dyDescent="0.25">
      <c r="A71" s="166"/>
      <c r="B71" s="32">
        <v>0.6</v>
      </c>
      <c r="C71" s="78">
        <v>97.852747800000003</v>
      </c>
      <c r="D71" s="79">
        <v>106.40041600000001</v>
      </c>
      <c r="E71" s="114">
        <v>102.622091</v>
      </c>
      <c r="F71" s="1">
        <f t="shared" si="10"/>
        <v>102.2917516</v>
      </c>
      <c r="G71" s="2">
        <f t="shared" si="11"/>
        <v>3.4973800673949342</v>
      </c>
    </row>
    <row r="72" spans="1:7" x14ac:dyDescent="0.25">
      <c r="A72" s="166"/>
      <c r="B72" s="32">
        <v>0.5</v>
      </c>
      <c r="C72" s="78">
        <v>112.78635199999999</v>
      </c>
      <c r="D72" s="79">
        <v>117.51657299999999</v>
      </c>
      <c r="E72" s="114">
        <v>115.843013</v>
      </c>
      <c r="F72" s="1">
        <f t="shared" si="10"/>
        <v>115.38197933333333</v>
      </c>
      <c r="G72" s="2">
        <f t="shared" si="11"/>
        <v>1.9584282317818604</v>
      </c>
    </row>
    <row r="73" spans="1:7" x14ac:dyDescent="0.25">
      <c r="A73" s="166"/>
      <c r="B73" s="32">
        <v>0.4</v>
      </c>
      <c r="C73" s="78">
        <v>134.917843</v>
      </c>
      <c r="D73" s="79">
        <v>143.202832</v>
      </c>
      <c r="E73" s="114">
        <v>139.804011</v>
      </c>
      <c r="F73" s="1">
        <f t="shared" si="10"/>
        <v>139.30822866666668</v>
      </c>
      <c r="G73" s="2">
        <f t="shared" si="11"/>
        <v>3.4004520066273853</v>
      </c>
    </row>
    <row r="74" spans="1:7" x14ac:dyDescent="0.25">
      <c r="A74" s="166"/>
      <c r="B74" s="32">
        <v>0.3</v>
      </c>
      <c r="C74" s="78">
        <v>148.30497600000001</v>
      </c>
      <c r="D74" s="79">
        <v>162.85605799999999</v>
      </c>
      <c r="E74" s="114">
        <v>152.53711899999999</v>
      </c>
      <c r="F74" s="1">
        <f t="shared" si="10"/>
        <v>154.56605099999999</v>
      </c>
      <c r="G74" s="2">
        <f t="shared" si="11"/>
        <v>6.1112421344136401</v>
      </c>
    </row>
    <row r="75" spans="1:7" x14ac:dyDescent="0.25">
      <c r="A75" s="166"/>
      <c r="B75" s="32">
        <v>0.2</v>
      </c>
      <c r="C75" s="78">
        <v>160.286361</v>
      </c>
      <c r="D75" s="79">
        <v>180.024202</v>
      </c>
      <c r="E75" s="114">
        <v>163.63641100000001</v>
      </c>
      <c r="F75" s="1">
        <f t="shared" si="10"/>
        <v>167.98232466666667</v>
      </c>
      <c r="G75" s="2">
        <f t="shared" si="11"/>
        <v>8.624029067433634</v>
      </c>
    </row>
    <row r="76" spans="1:7" x14ac:dyDescent="0.25">
      <c r="A76" s="166"/>
      <c r="B76" s="32">
        <v>0.1</v>
      </c>
      <c r="C76" s="78">
        <v>228.882352</v>
      </c>
      <c r="D76" s="79">
        <v>258.64595800000001</v>
      </c>
      <c r="E76" s="114">
        <v>228.117862</v>
      </c>
      <c r="F76" s="1">
        <f t="shared" si="10"/>
        <v>238.54872399999999</v>
      </c>
      <c r="G76" s="2">
        <f t="shared" si="11"/>
        <v>14.214317244198826</v>
      </c>
    </row>
    <row r="77" spans="1:7" x14ac:dyDescent="0.25">
      <c r="A77" s="166"/>
      <c r="B77" s="32">
        <v>0.5</v>
      </c>
      <c r="C77" s="78">
        <v>90.779255899999995</v>
      </c>
      <c r="D77" s="79">
        <v>105.64725900000001</v>
      </c>
      <c r="E77" s="114">
        <v>95.845068100000006</v>
      </c>
      <c r="F77" s="1">
        <f t="shared" si="10"/>
        <v>97.423861000000002</v>
      </c>
      <c r="G77" s="2">
        <f t="shared" si="11"/>
        <v>6.1716458804881906</v>
      </c>
    </row>
    <row r="78" spans="1:7" ht="15.75" thickBot="1" x14ac:dyDescent="0.3">
      <c r="A78" s="167"/>
      <c r="B78" s="33">
        <v>0.2</v>
      </c>
      <c r="C78" s="81">
        <v>162.89232200000001</v>
      </c>
      <c r="D78" s="82">
        <v>184.665289</v>
      </c>
      <c r="E78" s="115">
        <v>169.763071</v>
      </c>
      <c r="F78" s="1">
        <f t="shared" si="10"/>
        <v>172.44022733333335</v>
      </c>
      <c r="G78" s="2">
        <f t="shared" si="11"/>
        <v>9.088120360140568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2.9966496000000006E-2</v>
      </c>
      <c r="D80">
        <f t="shared" ref="D80:E80" si="12">D25</f>
        <v>3.0093696000000003E-2</v>
      </c>
      <c r="E80">
        <f t="shared" si="12"/>
        <v>2.9855136000000004E-2</v>
      </c>
      <c r="F80" s="1">
        <f t="shared" ref="F80:F104" si="13">AVERAGE(C80:E80)</f>
        <v>2.9971776000000006E-2</v>
      </c>
      <c r="G80" s="2">
        <f t="shared" ref="G80:G104" si="14">_xlfn.STDEV.P(C80:E80)</f>
        <v>9.7463248458072108E-5</v>
      </c>
    </row>
    <row r="81" spans="1:7" ht="15.75" thickTop="1" x14ac:dyDescent="0.25">
      <c r="A81" s="161" t="s">
        <v>90</v>
      </c>
      <c r="B81" s="38" t="s">
        <v>73</v>
      </c>
      <c r="C81">
        <f>C33/C80</f>
        <v>182.6680099668643</v>
      </c>
      <c r="D81">
        <f t="shared" ref="D81:E81" si="15">D33/D80</f>
        <v>181.67210135970004</v>
      </c>
      <c r="E81">
        <f t="shared" si="15"/>
        <v>182.48385269455812</v>
      </c>
      <c r="F81" s="1">
        <f t="shared" si="13"/>
        <v>182.27465467370749</v>
      </c>
      <c r="G81" s="2">
        <f t="shared" si="14"/>
        <v>0.43265178253944203</v>
      </c>
    </row>
    <row r="82" spans="1:7" x14ac:dyDescent="0.25">
      <c r="A82" s="162"/>
      <c r="B82" s="38" t="s">
        <v>74</v>
      </c>
      <c r="C82">
        <f>C34/C80</f>
        <v>165.75564790758315</v>
      </c>
      <c r="D82">
        <f t="shared" ref="D82:E82" si="16">D34/D80</f>
        <v>165.54723986046776</v>
      </c>
      <c r="E82">
        <f t="shared" si="16"/>
        <v>166.04414496721768</v>
      </c>
      <c r="F82" s="1">
        <f t="shared" si="13"/>
        <v>165.78234424508955</v>
      </c>
      <c r="G82" s="2">
        <f t="shared" si="14"/>
        <v>0.20373707256449961</v>
      </c>
    </row>
    <row r="83" spans="1:7" x14ac:dyDescent="0.25">
      <c r="A83" s="162"/>
      <c r="B83" s="38" t="s">
        <v>75</v>
      </c>
      <c r="C83">
        <f>C35/C80</f>
        <v>157.60565232585083</v>
      </c>
      <c r="D83">
        <f t="shared" ref="D83:E83" si="17">D35/D80</f>
        <v>157.52914730048445</v>
      </c>
      <c r="E83">
        <f t="shared" si="17"/>
        <v>157.87423812103887</v>
      </c>
      <c r="F83" s="1">
        <f t="shared" si="13"/>
        <v>157.6696792491247</v>
      </c>
      <c r="G83" s="2">
        <f t="shared" si="14"/>
        <v>0.14797861058425732</v>
      </c>
    </row>
    <row r="84" spans="1:7" x14ac:dyDescent="0.25">
      <c r="A84" s="162"/>
      <c r="B84" s="38" t="s">
        <v>76</v>
      </c>
      <c r="C84">
        <f>C36/C80</f>
        <v>158.47150230710989</v>
      </c>
      <c r="D84">
        <f t="shared" ref="D84:E84" si="18">D36/D80</f>
        <v>158.31888014021271</v>
      </c>
      <c r="E84">
        <f t="shared" si="18"/>
        <v>158.69978050007876</v>
      </c>
      <c r="F84" s="1">
        <f t="shared" si="13"/>
        <v>158.49672098246711</v>
      </c>
      <c r="G84" s="2">
        <f t="shared" si="14"/>
        <v>0.15652104699070793</v>
      </c>
    </row>
    <row r="85" spans="1:7" x14ac:dyDescent="0.25">
      <c r="A85" s="162"/>
      <c r="B85" s="38" t="s">
        <v>77</v>
      </c>
      <c r="C85">
        <f>C37/C80</f>
        <v>159.10322247886438</v>
      </c>
      <c r="D85">
        <f t="shared" ref="D85:E85" si="19">D37/D80</f>
        <v>158.82991407901508</v>
      </c>
      <c r="E85">
        <f t="shared" si="19"/>
        <v>159.2035316804452</v>
      </c>
      <c r="F85" s="1">
        <f t="shared" si="13"/>
        <v>159.04555607944155</v>
      </c>
      <c r="G85" s="2">
        <f t="shared" si="14"/>
        <v>0.15788516552944937</v>
      </c>
    </row>
    <row r="86" spans="1:7" x14ac:dyDescent="0.25">
      <c r="A86" s="162"/>
      <c r="B86" s="38" t="s">
        <v>78</v>
      </c>
      <c r="C86">
        <f>C38/C80</f>
        <v>159.5450105344315</v>
      </c>
      <c r="D86">
        <f t="shared" ref="D86:E86" si="20">D38/D80</f>
        <v>159.29291503443113</v>
      </c>
      <c r="E86">
        <f t="shared" si="20"/>
        <v>159.66915843223757</v>
      </c>
      <c r="F86" s="1">
        <f t="shared" si="13"/>
        <v>159.50236133370007</v>
      </c>
      <c r="G86" s="2">
        <f t="shared" si="14"/>
        <v>0.15653325384830125</v>
      </c>
    </row>
    <row r="87" spans="1:7" x14ac:dyDescent="0.25">
      <c r="A87" s="162"/>
      <c r="B87" s="38" t="s">
        <v>79</v>
      </c>
      <c r="C87">
        <f>C39/C80</f>
        <v>160.79832623740859</v>
      </c>
      <c r="D87">
        <f t="shared" ref="D87:E87" si="21">D39/D80</f>
        <v>160.44644798698039</v>
      </c>
      <c r="E87">
        <f t="shared" si="21"/>
        <v>160.85137813473699</v>
      </c>
      <c r="F87" s="1">
        <f t="shared" si="13"/>
        <v>160.69871745304198</v>
      </c>
      <c r="G87" s="2">
        <f t="shared" si="14"/>
        <v>0.17969147370384536</v>
      </c>
    </row>
    <row r="88" spans="1:7" x14ac:dyDescent="0.25">
      <c r="A88" s="162"/>
      <c r="B88" s="38" t="s">
        <v>80</v>
      </c>
      <c r="C88">
        <f>C40/C80</f>
        <v>160.3995528873312</v>
      </c>
      <c r="D88">
        <f t="shared" ref="D88:E88" si="22">D40/D80</f>
        <v>160.05931275440543</v>
      </c>
      <c r="E88">
        <f t="shared" si="22"/>
        <v>159.21591547933326</v>
      </c>
      <c r="F88" s="1">
        <f t="shared" si="13"/>
        <v>159.8915937070233</v>
      </c>
      <c r="G88" s="2">
        <f t="shared" si="14"/>
        <v>0.49755846393102027</v>
      </c>
    </row>
    <row r="89" spans="1:7" x14ac:dyDescent="0.25">
      <c r="A89" s="162"/>
      <c r="B89" s="38" t="s">
        <v>80</v>
      </c>
      <c r="C89">
        <f>C41/C80</f>
        <v>152.87498778635975</v>
      </c>
      <c r="D89">
        <f t="shared" ref="D89:E89" si="23">D41/D80</f>
        <v>152.59121644612878</v>
      </c>
      <c r="E89">
        <f t="shared" si="23"/>
        <v>153.67586903640299</v>
      </c>
      <c r="F89" s="1">
        <f t="shared" si="13"/>
        <v>153.04735775629717</v>
      </c>
      <c r="G89" s="2">
        <f t="shared" si="14"/>
        <v>0.45927578156579307</v>
      </c>
    </row>
    <row r="90" spans="1:7" x14ac:dyDescent="0.25">
      <c r="A90" s="162"/>
      <c r="B90" s="38" t="s">
        <v>80</v>
      </c>
      <c r="C90">
        <f>C42/C80</f>
        <v>142.35977372863343</v>
      </c>
      <c r="D90">
        <f t="shared" ref="D90:E90" si="24">D42/D80</f>
        <v>140.18626060421423</v>
      </c>
      <c r="E90">
        <f t="shared" si="24"/>
        <v>145.15557758638244</v>
      </c>
      <c r="F90" s="1">
        <f t="shared" si="13"/>
        <v>142.56720397307669</v>
      </c>
      <c r="G90" s="2">
        <f t="shared" si="14"/>
        <v>2.0340105370177226</v>
      </c>
    </row>
    <row r="91" spans="1:7" x14ac:dyDescent="0.25">
      <c r="A91" s="162"/>
      <c r="B91" s="38" t="s">
        <v>80</v>
      </c>
      <c r="C91">
        <f>C43/C80</f>
        <v>131.32984550479307</v>
      </c>
      <c r="D91">
        <f t="shared" ref="D91:E91" si="25">D43/D80</f>
        <v>131.0559317805297</v>
      </c>
      <c r="E91">
        <f t="shared" si="25"/>
        <v>131.41197648538594</v>
      </c>
      <c r="F91" s="1">
        <f t="shared" si="13"/>
        <v>131.26591792356956</v>
      </c>
      <c r="G91" s="2">
        <f t="shared" si="14"/>
        <v>0.15222135131633271</v>
      </c>
    </row>
    <row r="92" spans="1:7" ht="15.75" thickBot="1" x14ac:dyDescent="0.3">
      <c r="A92" s="163"/>
      <c r="B92" s="39" t="s">
        <v>80</v>
      </c>
      <c r="C92">
        <f>C44/C80</f>
        <v>33.858278592198431</v>
      </c>
      <c r="D92">
        <f t="shared" ref="D92:E92" si="26">D44/D80</f>
        <v>20.511768311875016</v>
      </c>
      <c r="E92">
        <f t="shared" si="26"/>
        <v>29.801442874016715</v>
      </c>
      <c r="F92" s="1">
        <f t="shared" si="13"/>
        <v>28.057163259363389</v>
      </c>
      <c r="G92" s="2">
        <f t="shared" si="14"/>
        <v>5.5865444117251375</v>
      </c>
    </row>
    <row r="93" spans="1:7" ht="15.75" thickTop="1" x14ac:dyDescent="0.25">
      <c r="A93" s="161" t="s">
        <v>91</v>
      </c>
      <c r="B93" s="40" t="s">
        <v>73</v>
      </c>
      <c r="C93">
        <f>C45/C80</f>
        <v>165.26781175883889</v>
      </c>
      <c r="D93">
        <f t="shared" ref="D93:E93" si="27">D45/D80</f>
        <v>164.73166473137761</v>
      </c>
      <c r="E93">
        <f t="shared" si="27"/>
        <v>165.48003800753074</v>
      </c>
      <c r="F93" s="1">
        <f t="shared" si="13"/>
        <v>165.15983816591574</v>
      </c>
      <c r="G93" s="2">
        <f t="shared" si="14"/>
        <v>0.31491730416263519</v>
      </c>
    </row>
    <row r="94" spans="1:7" x14ac:dyDescent="0.25">
      <c r="A94" s="162"/>
      <c r="B94" s="38" t="s">
        <v>74</v>
      </c>
      <c r="C94">
        <f>C46/C80</f>
        <v>157.28322490557451</v>
      </c>
      <c r="D94">
        <f t="shared" ref="D94:E94" si="28">D46/D80</f>
        <v>157.17330898803522</v>
      </c>
      <c r="E94">
        <f t="shared" si="28"/>
        <v>157.53358182659088</v>
      </c>
      <c r="F94" s="1">
        <f t="shared" si="13"/>
        <v>157.3300385734002</v>
      </c>
      <c r="G94" s="2">
        <f t="shared" si="14"/>
        <v>0.15075978502617637</v>
      </c>
    </row>
    <row r="95" spans="1:7" x14ac:dyDescent="0.25">
      <c r="A95" s="162"/>
      <c r="B95" s="38" t="s">
        <v>75</v>
      </c>
      <c r="C95">
        <f>C47/C80</f>
        <v>158.141940919619</v>
      </c>
      <c r="D95">
        <f t="shared" ref="D95:E95" si="29">D47/D80</f>
        <v>157.95907289021594</v>
      </c>
      <c r="E95">
        <f t="shared" si="29"/>
        <v>158.34865665994619</v>
      </c>
      <c r="F95" s="1">
        <f t="shared" si="13"/>
        <v>158.14989015659373</v>
      </c>
      <c r="G95" s="2">
        <f t="shared" si="14"/>
        <v>0.15914620361095297</v>
      </c>
    </row>
    <row r="96" spans="1:7" x14ac:dyDescent="0.25">
      <c r="A96" s="162"/>
      <c r="B96" s="38" t="s">
        <v>76</v>
      </c>
      <c r="C96">
        <f>C48/C80</f>
        <v>158.7961715644031</v>
      </c>
      <c r="D96">
        <f t="shared" ref="D96:E96" si="30">D48/D80</f>
        <v>158.48737124213653</v>
      </c>
      <c r="E96">
        <f t="shared" si="30"/>
        <v>158.87180952717816</v>
      </c>
      <c r="F96" s="1">
        <f t="shared" si="13"/>
        <v>158.71845077790593</v>
      </c>
      <c r="G96" s="2">
        <f t="shared" si="14"/>
        <v>0.16629008637867373</v>
      </c>
    </row>
    <row r="97" spans="1:7" x14ac:dyDescent="0.25">
      <c r="A97" s="162"/>
      <c r="B97" s="38" t="s">
        <v>77</v>
      </c>
      <c r="C97">
        <f>C49/C80</f>
        <v>159.25134957387073</v>
      </c>
      <c r="D97">
        <f t="shared" ref="D97:E97" si="31">D49/D80</f>
        <v>158.96061753265533</v>
      </c>
      <c r="E97">
        <f t="shared" si="31"/>
        <v>159.35387298185478</v>
      </c>
      <c r="F97" s="1">
        <f t="shared" si="13"/>
        <v>159.1886133627936</v>
      </c>
      <c r="G97" s="2">
        <f t="shared" si="14"/>
        <v>0.16656197288396529</v>
      </c>
    </row>
    <row r="98" spans="1:7" x14ac:dyDescent="0.25">
      <c r="A98" s="162"/>
      <c r="B98" s="38" t="s">
        <v>78</v>
      </c>
      <c r="C98">
        <f>C50/C80</f>
        <v>159.70951625441958</v>
      </c>
      <c r="D98">
        <f t="shared" ref="D98:E98" si="32">D50/D80</f>
        <v>159.38953460552</v>
      </c>
      <c r="E98">
        <f t="shared" si="32"/>
        <v>159.7613700369678</v>
      </c>
      <c r="F98" s="1">
        <f t="shared" si="13"/>
        <v>159.62014029896912</v>
      </c>
      <c r="G98" s="2">
        <f t="shared" si="14"/>
        <v>0.16443122793335271</v>
      </c>
    </row>
    <row r="99" spans="1:7" x14ac:dyDescent="0.25">
      <c r="A99" s="162"/>
      <c r="B99" s="38" t="s">
        <v>79</v>
      </c>
      <c r="C99">
        <f>C51/C80</f>
        <v>160.89926663431049</v>
      </c>
      <c r="D99">
        <f t="shared" ref="D99:E99" si="33">D51/D80</f>
        <v>160.45552829403206</v>
      </c>
      <c r="E99">
        <f t="shared" si="33"/>
        <v>160.90744386493498</v>
      </c>
      <c r="F99" s="1">
        <f t="shared" si="13"/>
        <v>160.75407959775919</v>
      </c>
      <c r="G99" s="2">
        <f t="shared" si="14"/>
        <v>0.21113404508832928</v>
      </c>
    </row>
    <row r="100" spans="1:7" x14ac:dyDescent="0.25">
      <c r="A100" s="162"/>
      <c r="B100" s="38" t="s">
        <v>82</v>
      </c>
      <c r="C100">
        <f>C52/C80</f>
        <v>152.67199575152193</v>
      </c>
      <c r="D100">
        <f t="shared" ref="D100:E100" si="34">D52/D80</f>
        <v>152.27102181134543</v>
      </c>
      <c r="E100">
        <f t="shared" si="34"/>
        <v>152.22381033534731</v>
      </c>
      <c r="F100" s="1">
        <f t="shared" si="13"/>
        <v>152.38894263273821</v>
      </c>
      <c r="G100" s="2">
        <f t="shared" si="14"/>
        <v>0.20107466591023379</v>
      </c>
    </row>
    <row r="101" spans="1:7" x14ac:dyDescent="0.25">
      <c r="A101" s="162"/>
      <c r="B101" s="38" t="s">
        <v>83</v>
      </c>
      <c r="C101">
        <f>C53/C80</f>
        <v>142.18915351331032</v>
      </c>
      <c r="D101">
        <f t="shared" ref="D101:E101" si="35">D53/D80</f>
        <v>139.9539062931984</v>
      </c>
      <c r="E101">
        <f t="shared" si="35"/>
        <v>144.96315307356159</v>
      </c>
      <c r="F101" s="1">
        <f t="shared" si="13"/>
        <v>142.36873762669009</v>
      </c>
      <c r="G101" s="2">
        <f t="shared" si="14"/>
        <v>2.0489552080639433</v>
      </c>
    </row>
    <row r="102" spans="1:7" x14ac:dyDescent="0.25">
      <c r="A102" s="162"/>
      <c r="B102" s="38" t="s">
        <v>84</v>
      </c>
      <c r="C102">
        <f>C54/C80</f>
        <v>119.22785867256549</v>
      </c>
      <c r="D102">
        <f t="shared" ref="D102:E102" si="36">D54/D80</f>
        <v>108.49183629687759</v>
      </c>
      <c r="E102">
        <f t="shared" si="36"/>
        <v>120.4435920171323</v>
      </c>
      <c r="F102" s="1">
        <f t="shared" si="13"/>
        <v>116.05442899552513</v>
      </c>
      <c r="G102" s="2">
        <f t="shared" si="14"/>
        <v>5.3705436183872894</v>
      </c>
    </row>
    <row r="103" spans="1:7" x14ac:dyDescent="0.25">
      <c r="A103" s="162"/>
      <c r="B103" s="38" t="s">
        <v>85</v>
      </c>
      <c r="C103">
        <f>C55/C80</f>
        <v>33.750330702662062</v>
      </c>
      <c r="D103">
        <f t="shared" ref="D103:E103" si="37">D55/D80</f>
        <v>20.361321852922284</v>
      </c>
      <c r="E103">
        <f t="shared" si="37"/>
        <v>29.718614244463662</v>
      </c>
      <c r="F103" s="1">
        <f t="shared" si="13"/>
        <v>27.943422266682671</v>
      </c>
      <c r="G103" s="2">
        <f t="shared" si="14"/>
        <v>5.6083193806514524</v>
      </c>
    </row>
    <row r="104" spans="1:7" ht="15.75" thickBot="1" x14ac:dyDescent="0.3">
      <c r="A104" s="163"/>
      <c r="B104" s="39" t="s">
        <v>86</v>
      </c>
      <c r="C104">
        <f>C56/C80</f>
        <v>8.9309741118881556E-4</v>
      </c>
      <c r="D104">
        <f t="shared" ref="D104:E104" si="38">D56/D80</f>
        <v>8.9108363426014525E-4</v>
      </c>
      <c r="E104">
        <f t="shared" si="38"/>
        <v>8.9224179049125741E-4</v>
      </c>
      <c r="F104" s="1">
        <f t="shared" si="13"/>
        <v>8.9214094531340604E-4</v>
      </c>
      <c r="G104" s="2">
        <f t="shared" si="14"/>
        <v>8.2520772820468427E-7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0.20976062482229532</v>
      </c>
      <c r="D106">
        <f t="shared" ref="D106:E106" si="39">D55/D51</f>
        <v>0.12689697930264204</v>
      </c>
      <c r="E106">
        <f t="shared" si="39"/>
        <v>0.18469384343342957</v>
      </c>
      <c r="F106" s="1">
        <f>AVERAGE(C106:E106)</f>
        <v>0.17378381585278899</v>
      </c>
      <c r="G106" s="2">
        <f>_xlfn.STDEV.P(C106:E106)</f>
        <v>3.4697429910195934E-2</v>
      </c>
    </row>
    <row r="107" spans="1:7" ht="15.75" thickBot="1" x14ac:dyDescent="0.3">
      <c r="A107" s="36"/>
      <c r="B107" s="39" t="s">
        <v>94</v>
      </c>
      <c r="C107">
        <f>(1-C45/C33)*100</f>
        <v>9.5255859037287287</v>
      </c>
      <c r="D107">
        <f t="shared" ref="D107:E107" si="40">(1-D45/D33)*100</f>
        <v>9.3247320317946691</v>
      </c>
      <c r="E107">
        <f t="shared" si="40"/>
        <v>9.3179831727294946</v>
      </c>
      <c r="F107" s="1">
        <f>AVERAGE(C107:E107)</f>
        <v>9.3894337027509653</v>
      </c>
      <c r="G107" s="2">
        <f>_xlfn.STDEV.P(C107:E107)</f>
        <v>9.6313561343449414E-2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1.13484624E-2</v>
      </c>
      <c r="D110">
        <f t="shared" ref="D110:E110" si="41">D16*D21/10^4</f>
        <v>1.13484624E-2</v>
      </c>
      <c r="E110">
        <f t="shared" si="41"/>
        <v>1.1176516000000001E-2</v>
      </c>
      <c r="F110" s="1">
        <f t="shared" ref="F110:F134" si="42">AVERAGE(C110:E110)</f>
        <v>1.1291146933333334E-2</v>
      </c>
      <c r="G110" s="2">
        <f t="shared" ref="G110:G134" si="43">_xlfn.STDEV.P(C110:E110)</f>
        <v>8.1056310293742745E-5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482.34906166671533</v>
      </c>
      <c r="D111">
        <f t="shared" ref="D111:E111" si="44">D33/D110</f>
        <v>481.755571574172</v>
      </c>
      <c r="E111">
        <f t="shared" si="44"/>
        <v>487.45783032923674</v>
      </c>
      <c r="F111" s="1">
        <f t="shared" si="42"/>
        <v>483.85415452337469</v>
      </c>
      <c r="G111" s="2">
        <f t="shared" si="43"/>
        <v>2.5596766863288827</v>
      </c>
    </row>
    <row r="112" spans="1:7" x14ac:dyDescent="0.25">
      <c r="A112" s="162"/>
      <c r="B112" s="38" t="s">
        <v>74</v>
      </c>
      <c r="C112">
        <f>C34/C110</f>
        <v>437.69065666552325</v>
      </c>
      <c r="D112">
        <f t="shared" ref="D112:E112" si="45">D34/D110</f>
        <v>438.99588635020723</v>
      </c>
      <c r="E112">
        <f t="shared" si="45"/>
        <v>443.54345576027441</v>
      </c>
      <c r="F112" s="1">
        <f t="shared" si="42"/>
        <v>440.07666625866824</v>
      </c>
      <c r="G112" s="2">
        <f t="shared" si="43"/>
        <v>2.5086355147476542</v>
      </c>
    </row>
    <row r="113" spans="1:7" x14ac:dyDescent="0.25">
      <c r="A113" s="162"/>
      <c r="B113" s="38" t="s">
        <v>75</v>
      </c>
      <c r="C113">
        <f>C35/C110</f>
        <v>416.16996061069915</v>
      </c>
      <c r="D113">
        <f t="shared" ref="D113:E113" si="46">D35/D110</f>
        <v>417.73361913769043</v>
      </c>
      <c r="E113">
        <f t="shared" si="46"/>
        <v>421.71968885473791</v>
      </c>
      <c r="F113" s="1">
        <f t="shared" si="42"/>
        <v>418.54108953437589</v>
      </c>
      <c r="G113" s="2">
        <f t="shared" si="43"/>
        <v>2.3365041160977866</v>
      </c>
    </row>
    <row r="114" spans="1:7" x14ac:dyDescent="0.25">
      <c r="A114" s="162"/>
      <c r="B114" s="38" t="s">
        <v>76</v>
      </c>
      <c r="C114">
        <f>C36/C110</f>
        <v>418.45630470608955</v>
      </c>
      <c r="D114">
        <f t="shared" ref="D114:E114" si="47">D36/D110</f>
        <v>419.82782178491419</v>
      </c>
      <c r="E114">
        <f t="shared" si="47"/>
        <v>423.92490915773755</v>
      </c>
      <c r="F114" s="1">
        <f t="shared" si="42"/>
        <v>420.73634521624712</v>
      </c>
      <c r="G114" s="2">
        <f t="shared" si="43"/>
        <v>2.3231400849004267</v>
      </c>
    </row>
    <row r="115" spans="1:7" x14ac:dyDescent="0.25">
      <c r="A115" s="162"/>
      <c r="B115" s="38" t="s">
        <v>77</v>
      </c>
      <c r="C115">
        <f>C37/C110</f>
        <v>420.12441086292012</v>
      </c>
      <c r="D115">
        <f t="shared" ref="D115:E115" si="48">D37/D110</f>
        <v>421.18297453230321</v>
      </c>
      <c r="E115">
        <f t="shared" si="48"/>
        <v>425.27054853229754</v>
      </c>
      <c r="F115" s="1">
        <f t="shared" si="42"/>
        <v>422.19264464250699</v>
      </c>
      <c r="G115" s="2">
        <f t="shared" si="43"/>
        <v>2.2188974028595769</v>
      </c>
    </row>
    <row r="116" spans="1:7" x14ac:dyDescent="0.25">
      <c r="A116" s="162"/>
      <c r="B116" s="38" t="s">
        <v>78</v>
      </c>
      <c r="C116">
        <f>C38/C110</f>
        <v>421.29098652166306</v>
      </c>
      <c r="D116">
        <f t="shared" ref="D116:E116" si="49">D38/D110</f>
        <v>422.41075407713384</v>
      </c>
      <c r="E116">
        <f t="shared" si="49"/>
        <v>426.51434847854188</v>
      </c>
      <c r="F116" s="1">
        <f t="shared" si="42"/>
        <v>423.40536302577965</v>
      </c>
      <c r="G116" s="2">
        <f t="shared" si="43"/>
        <v>2.2454120265832254</v>
      </c>
    </row>
    <row r="117" spans="1:7" x14ac:dyDescent="0.25">
      <c r="A117" s="162"/>
      <c r="B117" s="38" t="s">
        <v>79</v>
      </c>
      <c r="C117">
        <f>C39/C110</f>
        <v>424.60046393597781</v>
      </c>
      <c r="D117">
        <f t="shared" ref="D117:E117" si="50">D39/D110</f>
        <v>425.46967684362244</v>
      </c>
      <c r="E117">
        <f t="shared" si="50"/>
        <v>429.67233885765472</v>
      </c>
      <c r="F117" s="1">
        <f t="shared" si="42"/>
        <v>426.58082654575168</v>
      </c>
      <c r="G117" s="2">
        <f t="shared" si="43"/>
        <v>2.2146435455380744</v>
      </c>
    </row>
    <row r="118" spans="1:7" x14ac:dyDescent="0.25">
      <c r="A118" s="162"/>
      <c r="B118" s="38" t="s">
        <v>80</v>
      </c>
      <c r="C118">
        <f>C40/C110</f>
        <v>423.54747194650787</v>
      </c>
      <c r="D118">
        <f t="shared" ref="D118:E118" si="51">D40/D110</f>
        <v>424.44307697578483</v>
      </c>
      <c r="E118">
        <f t="shared" si="51"/>
        <v>425.30362860841427</v>
      </c>
      <c r="F118" s="1">
        <f t="shared" si="42"/>
        <v>424.43139251023564</v>
      </c>
      <c r="G118" s="2">
        <f t="shared" si="43"/>
        <v>0.71699556034931256</v>
      </c>
    </row>
    <row r="119" spans="1:7" x14ac:dyDescent="0.25">
      <c r="A119" s="162"/>
      <c r="B119" s="38" t="s">
        <v>80</v>
      </c>
      <c r="C119">
        <f>C41/C110</f>
        <v>403.67827363114844</v>
      </c>
      <c r="D119">
        <f t="shared" ref="D119:E119" si="52">D41/D110</f>
        <v>404.63928223439325</v>
      </c>
      <c r="E119">
        <f t="shared" si="52"/>
        <v>410.50484515926075</v>
      </c>
      <c r="F119" s="1">
        <f t="shared" si="42"/>
        <v>406.27413367493409</v>
      </c>
      <c r="G119" s="2">
        <f t="shared" si="43"/>
        <v>3.0171812597839729</v>
      </c>
    </row>
    <row r="120" spans="1:7" x14ac:dyDescent="0.25">
      <c r="A120" s="162"/>
      <c r="B120" s="38" t="s">
        <v>80</v>
      </c>
      <c r="C120">
        <f>C42/C110</f>
        <v>375.91203456778425</v>
      </c>
      <c r="D120">
        <f t="shared" ref="D120:E120" si="53">D42/D110</f>
        <v>371.7439915032013</v>
      </c>
      <c r="E120">
        <f t="shared" si="53"/>
        <v>387.74511753036455</v>
      </c>
      <c r="F120" s="1">
        <f t="shared" si="42"/>
        <v>378.46704786711666</v>
      </c>
      <c r="G120" s="2">
        <f t="shared" si="43"/>
        <v>6.7776632282871949</v>
      </c>
    </row>
    <row r="121" spans="1:7" x14ac:dyDescent="0.25">
      <c r="A121" s="162"/>
      <c r="B121" s="38" t="s">
        <v>80</v>
      </c>
      <c r="C121">
        <f>C43/C110</f>
        <v>346.78665278919192</v>
      </c>
      <c r="D121">
        <f t="shared" ref="D121:E121" si="54">D43/D110</f>
        <v>347.53231151384881</v>
      </c>
      <c r="E121">
        <f t="shared" si="54"/>
        <v>351.03268585666586</v>
      </c>
      <c r="F121" s="1">
        <f t="shared" si="42"/>
        <v>348.45055005323553</v>
      </c>
      <c r="G121" s="2">
        <f t="shared" si="43"/>
        <v>1.8510484801740237</v>
      </c>
    </row>
    <row r="122" spans="1:7" ht="15.75" thickBot="1" x14ac:dyDescent="0.3">
      <c r="A122" s="163"/>
      <c r="B122" s="39" t="s">
        <v>80</v>
      </c>
      <c r="C122">
        <f>C44/C110</f>
        <v>89.405413195006929</v>
      </c>
      <c r="D122">
        <f t="shared" ref="D122:E122" si="55">D44/D110</f>
        <v>54.392824176780103</v>
      </c>
      <c r="E122">
        <f t="shared" si="55"/>
        <v>79.606751334673518</v>
      </c>
      <c r="F122" s="1">
        <f t="shared" si="42"/>
        <v>74.468329568820181</v>
      </c>
      <c r="G122" s="2">
        <f t="shared" si="43"/>
        <v>14.748398356491942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436.40248744182293</v>
      </c>
      <c r="D123">
        <f t="shared" ref="D123:E123" si="56">D45/D110</f>
        <v>436.83315547663972</v>
      </c>
      <c r="E123">
        <f t="shared" si="56"/>
        <v>442.03659172500619</v>
      </c>
      <c r="F123" s="1">
        <f t="shared" si="42"/>
        <v>438.42407821448961</v>
      </c>
      <c r="G123" s="2">
        <f t="shared" si="43"/>
        <v>2.5604764057758009</v>
      </c>
    </row>
    <row r="124" spans="1:7" x14ac:dyDescent="0.25">
      <c r="A124" s="162"/>
      <c r="B124" s="38" t="s">
        <v>74</v>
      </c>
      <c r="C124">
        <f>C46/C110</f>
        <v>415.31856597595106</v>
      </c>
      <c r="D124">
        <f t="shared" ref="D124:E124" si="57">D46/D110</f>
        <v>416.79001201079012</v>
      </c>
      <c r="E124">
        <f t="shared" si="57"/>
        <v>420.80971476263261</v>
      </c>
      <c r="F124" s="1">
        <f t="shared" si="42"/>
        <v>417.63943091645797</v>
      </c>
      <c r="G124" s="2">
        <f t="shared" si="43"/>
        <v>2.3208207035943103</v>
      </c>
    </row>
    <row r="125" spans="1:7" x14ac:dyDescent="0.25">
      <c r="A125" s="162"/>
      <c r="B125" s="38" t="s">
        <v>75</v>
      </c>
      <c r="C125">
        <f>C47/C110</f>
        <v>417.58607227706898</v>
      </c>
      <c r="D125">
        <f t="shared" ref="D125:E125" si="58">D47/D110</f>
        <v>418.87368988419081</v>
      </c>
      <c r="E125">
        <f t="shared" si="58"/>
        <v>422.98697375819074</v>
      </c>
      <c r="F125" s="1">
        <f t="shared" si="42"/>
        <v>419.81557863981681</v>
      </c>
      <c r="G125" s="2">
        <f t="shared" si="43"/>
        <v>2.303301980950665</v>
      </c>
    </row>
    <row r="126" spans="1:7" x14ac:dyDescent="0.25">
      <c r="A126" s="162"/>
      <c r="B126" s="38" t="s">
        <v>76</v>
      </c>
      <c r="C126">
        <f>C48/C110</f>
        <v>419.31361908552475</v>
      </c>
      <c r="D126">
        <f t="shared" ref="D126:E126" si="59">D48/D110</f>
        <v>420.27462416406297</v>
      </c>
      <c r="E126">
        <f t="shared" si="59"/>
        <v>424.38443965901354</v>
      </c>
      <c r="F126" s="1">
        <f t="shared" si="42"/>
        <v>421.32422763620042</v>
      </c>
      <c r="G126" s="2">
        <f t="shared" si="43"/>
        <v>2.1991749829836236</v>
      </c>
    </row>
    <row r="127" spans="1:7" x14ac:dyDescent="0.25">
      <c r="A127" s="162"/>
      <c r="B127" s="38" t="s">
        <v>77</v>
      </c>
      <c r="C127">
        <f>C49/C110</f>
        <v>420.5155519570651</v>
      </c>
      <c r="D127">
        <f t="shared" ref="D127:E127" si="60">D49/D110</f>
        <v>421.52957214714831</v>
      </c>
      <c r="E127">
        <f t="shared" si="60"/>
        <v>425.6721459531754</v>
      </c>
      <c r="F127" s="1">
        <f t="shared" si="42"/>
        <v>422.57242335246292</v>
      </c>
      <c r="G127" s="2">
        <f t="shared" si="43"/>
        <v>2.2305857806862943</v>
      </c>
    </row>
    <row r="128" spans="1:7" x14ac:dyDescent="0.25">
      <c r="A128" s="162"/>
      <c r="B128" s="38" t="s">
        <v>78</v>
      </c>
      <c r="C128">
        <f>C50/C110</f>
        <v>421.72537664661957</v>
      </c>
      <c r="D128">
        <f t="shared" ref="D128:E128" si="61">D50/D110</f>
        <v>422.66696852253745</v>
      </c>
      <c r="E128">
        <f t="shared" si="61"/>
        <v>426.76066763560306</v>
      </c>
      <c r="F128" s="1">
        <f t="shared" si="42"/>
        <v>423.71767093492002</v>
      </c>
      <c r="G128" s="2">
        <f t="shared" si="43"/>
        <v>2.1857905519475112</v>
      </c>
    </row>
    <row r="129" spans="1:7" x14ac:dyDescent="0.25">
      <c r="A129" s="162"/>
      <c r="B129" s="38" t="s">
        <v>79</v>
      </c>
      <c r="C129">
        <f>C51/C110</f>
        <v>424.86700489045984</v>
      </c>
      <c r="D129">
        <f t="shared" ref="D129:E129" si="62">D51/D110</f>
        <v>425.49375587656704</v>
      </c>
      <c r="E129">
        <f t="shared" si="62"/>
        <v>429.82210377545204</v>
      </c>
      <c r="F129" s="1">
        <f t="shared" si="42"/>
        <v>426.72762151415964</v>
      </c>
      <c r="G129" s="2">
        <f t="shared" si="43"/>
        <v>2.2030387420918669</v>
      </c>
    </row>
    <row r="130" spans="1:7" x14ac:dyDescent="0.25">
      <c r="A130" s="162"/>
      <c r="B130" s="38" t="s">
        <v>82</v>
      </c>
      <c r="C130">
        <f>C52/C110</f>
        <v>403.14225740396336</v>
      </c>
      <c r="D130">
        <f t="shared" ref="D130:E130" si="63">D52/D110</f>
        <v>403.79019452009635</v>
      </c>
      <c r="E130">
        <f t="shared" si="63"/>
        <v>406.62605055099453</v>
      </c>
      <c r="F130" s="1">
        <f t="shared" si="42"/>
        <v>404.51950082501804</v>
      </c>
      <c r="G130" s="2">
        <f t="shared" si="43"/>
        <v>1.5128603014652502</v>
      </c>
    </row>
    <row r="131" spans="1:7" x14ac:dyDescent="0.25">
      <c r="A131" s="162"/>
      <c r="B131" s="38" t="s">
        <v>83</v>
      </c>
      <c r="C131">
        <f>C53/C110</f>
        <v>375.46149864319943</v>
      </c>
      <c r="D131">
        <f t="shared" ref="D131:E131" si="64">D53/D110</f>
        <v>371.12783754740201</v>
      </c>
      <c r="E131">
        <f t="shared" si="64"/>
        <v>387.23110582940154</v>
      </c>
      <c r="F131" s="1">
        <f t="shared" si="42"/>
        <v>377.94014734000098</v>
      </c>
      <c r="G131" s="2">
        <f t="shared" si="43"/>
        <v>6.8037532221625101</v>
      </c>
    </row>
    <row r="132" spans="1:7" x14ac:dyDescent="0.25">
      <c r="A132" s="162"/>
      <c r="B132" s="38" t="s">
        <v>84</v>
      </c>
      <c r="C132">
        <f>C54/C110</f>
        <v>314.83041702636297</v>
      </c>
      <c r="D132">
        <f t="shared" ref="D132:E132" si="65">D54/D110</f>
        <v>287.69715446208818</v>
      </c>
      <c r="E132">
        <f t="shared" si="65"/>
        <v>321.73351874591327</v>
      </c>
      <c r="F132" s="1">
        <f t="shared" si="42"/>
        <v>308.08703007812147</v>
      </c>
      <c r="G132" s="2">
        <f t="shared" si="43"/>
        <v>14.690665382380208</v>
      </c>
    </row>
    <row r="133" spans="1:7" x14ac:dyDescent="0.25">
      <c r="A133" s="162"/>
      <c r="B133" s="38" t="s">
        <v>85</v>
      </c>
      <c r="C133">
        <f>C55/C110</f>
        <v>89.120368412200051</v>
      </c>
      <c r="D133">
        <f t="shared" ref="D133:E133" si="66">D55/D110</f>
        <v>53.993872332872158</v>
      </c>
      <c r="E133">
        <f t="shared" si="66"/>
        <v>79.38549633893065</v>
      </c>
      <c r="F133" s="1">
        <f t="shared" si="42"/>
        <v>74.166579028000953</v>
      </c>
      <c r="G133" s="2">
        <f t="shared" si="43"/>
        <v>14.80755449371483</v>
      </c>
    </row>
    <row r="134" spans="1:7" ht="15.75" thickBot="1" x14ac:dyDescent="0.3">
      <c r="A134" s="163"/>
      <c r="B134" s="39" t="s">
        <v>86</v>
      </c>
      <c r="C134">
        <f>C56/C110</f>
        <v>2.3582930494619255E-3</v>
      </c>
      <c r="D134">
        <f t="shared" ref="D134:E134" si="67">D56/D110</f>
        <v>2.3629632856694313E-3</v>
      </c>
      <c r="E134">
        <f t="shared" si="67"/>
        <v>2.3833903159088217E-3</v>
      </c>
      <c r="F134" s="1">
        <f t="shared" si="42"/>
        <v>2.368215550346726E-3</v>
      </c>
      <c r="G134" s="2">
        <f t="shared" si="43"/>
        <v>1.0898253956694003E-5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DD029</v>
      </c>
      <c r="D137" s="68" t="str">
        <f>D1</f>
        <v>DD030</v>
      </c>
      <c r="E137" s="68" t="str">
        <f>E1</f>
        <v>DD031</v>
      </c>
    </row>
    <row r="138" spans="1:7" ht="14.45" customHeight="1" x14ac:dyDescent="0.25">
      <c r="A138" s="172"/>
      <c r="B138" s="69" t="s">
        <v>100</v>
      </c>
      <c r="C138" s="68">
        <f>C25</f>
        <v>2.9966496000000006E-2</v>
      </c>
      <c r="D138" s="68">
        <f t="shared" ref="D138:E138" si="68">D25</f>
        <v>3.0093696000000003E-2</v>
      </c>
      <c r="E138" s="68">
        <f t="shared" si="68"/>
        <v>2.9855136000000004E-2</v>
      </c>
      <c r="F138" s="1">
        <f>AVERAGE(C138:E138)</f>
        <v>2.9971776000000006E-2</v>
      </c>
      <c r="G138" s="2">
        <f>_xlfn.STDEV.P(C138:E138)</f>
        <v>9.7463248458072108E-5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66</v>
      </c>
      <c r="D142" s="68">
        <f t="shared" ref="D142:E142" si="69">D21</f>
        <v>66</v>
      </c>
      <c r="E142" s="68">
        <f t="shared" si="69"/>
        <v>65</v>
      </c>
      <c r="F142" s="1">
        <f>AVERAGE(C142:E142)</f>
        <v>65.666666666666671</v>
      </c>
      <c r="G142" s="2">
        <f>_xlfn.STDEV.P(C142:E142)</f>
        <v>0.47140452079103168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 t="shared" ref="D143:E143" si="70">D16</f>
        <v>1.7194640000000001</v>
      </c>
      <c r="E143" s="68">
        <f t="shared" si="70"/>
        <v>1.7194640000000001</v>
      </c>
      <c r="F143" s="1">
        <f>AVERAGE(C143:E143)</f>
        <v>1.7194640000000001</v>
      </c>
      <c r="G143" s="2">
        <f>_xlfn.STDEV.P(C143:E143)</f>
        <v>0</v>
      </c>
    </row>
    <row r="144" spans="1:7" ht="14.45" customHeight="1" x14ac:dyDescent="0.25">
      <c r="A144" s="172"/>
      <c r="B144" s="69" t="s">
        <v>106</v>
      </c>
      <c r="C144" s="68">
        <f>C22</f>
        <v>181.53971237548447</v>
      </c>
      <c r="D144" s="68">
        <f t="shared" ref="D144:E144" si="71">D22</f>
        <v>182.31030134972295</v>
      </c>
      <c r="E144" s="68">
        <f t="shared" si="71"/>
        <v>180.86508353766061</v>
      </c>
      <c r="F144" s="1">
        <f>AVERAGE(C144:E144)</f>
        <v>181.5716990876227</v>
      </c>
      <c r="G144" s="2">
        <f>_xlfn.STDEV.P(C144:E144)</f>
        <v>0.5904410743337688</v>
      </c>
    </row>
    <row r="145" spans="1:7" ht="14.45" customHeight="1" x14ac:dyDescent="0.25">
      <c r="A145" s="172"/>
      <c r="B145" s="69" t="s">
        <v>107</v>
      </c>
      <c r="C145" s="68">
        <f>C24</f>
        <v>38.299647764494047</v>
      </c>
      <c r="D145" s="68">
        <f t="shared" ref="D145:E145" si="72">D24</f>
        <v>38.037745778877962</v>
      </c>
      <c r="E145" s="68">
        <f t="shared" si="72"/>
        <v>37.583226856589505</v>
      </c>
      <c r="F145" s="1">
        <f>AVERAGE(C145:E145)</f>
        <v>37.973540133320505</v>
      </c>
      <c r="G145" s="2">
        <f>_xlfn.STDEV.P(C145:E145)</f>
        <v>0.29598029552858129</v>
      </c>
    </row>
    <row r="146" spans="1:7" ht="14.45" customHeight="1" thickBot="1" x14ac:dyDescent="0.3">
      <c r="A146" s="173"/>
      <c r="B146" s="70" t="s">
        <v>108</v>
      </c>
      <c r="C146" s="68">
        <v>145</v>
      </c>
      <c r="D146" s="68">
        <v>145</v>
      </c>
      <c r="E146" s="68">
        <v>145</v>
      </c>
      <c r="F146" s="1">
        <f>AVERAGE(C146:E146)</f>
        <v>145</v>
      </c>
      <c r="G146" s="2">
        <f>_xlfn.STDEV.P(C146:E146)</f>
        <v>0</v>
      </c>
    </row>
    <row r="148" spans="1:7" x14ac:dyDescent="0.25">
      <c r="A148" s="168" t="s">
        <v>109</v>
      </c>
      <c r="B148" s="94" t="s">
        <v>110</v>
      </c>
      <c r="C148" s="97">
        <v>5.0199999999999996</v>
      </c>
      <c r="D148" s="97">
        <v>5.0199999999999996</v>
      </c>
      <c r="E148" s="97">
        <v>5</v>
      </c>
      <c r="F148" s="1">
        <f>AVERAGE(C148:E148)</f>
        <v>5.0133333333333328</v>
      </c>
      <c r="G148" s="2">
        <f>_xlfn.STDEV.P(C148:E148)</f>
        <v>9.428090415820432E-3</v>
      </c>
    </row>
    <row r="149" spans="1:7" x14ac:dyDescent="0.25">
      <c r="A149" s="169"/>
      <c r="B149" s="95" t="s">
        <v>111</v>
      </c>
      <c r="C149" s="97">
        <v>4.62</v>
      </c>
      <c r="D149" s="97">
        <v>4.62</v>
      </c>
      <c r="E149" s="97">
        <v>4.62</v>
      </c>
      <c r="F149" s="1">
        <f>AVERAGE(C149:E149)</f>
        <v>4.62</v>
      </c>
      <c r="G149" s="2">
        <f>_xlfn.STDEV.P(C149:E149)</f>
        <v>0</v>
      </c>
    </row>
    <row r="150" spans="1:7" x14ac:dyDescent="0.25">
      <c r="A150" s="169"/>
      <c r="B150" s="95" t="s">
        <v>112</v>
      </c>
      <c r="C150" s="97">
        <v>3.47</v>
      </c>
      <c r="D150" s="97">
        <v>3.3</v>
      </c>
      <c r="E150" s="97">
        <v>3.99</v>
      </c>
      <c r="F150" s="1">
        <f>AVERAGE(C150:E150)</f>
        <v>3.5866666666666664</v>
      </c>
      <c r="G150" s="2">
        <f>_xlfn.STDEV.P(C150:E150)</f>
        <v>0.29352266617001765</v>
      </c>
    </row>
    <row r="151" spans="1:7" ht="15.75" thickBot="1" x14ac:dyDescent="0.3">
      <c r="A151" s="170"/>
      <c r="B151" s="96" t="s">
        <v>113</v>
      </c>
      <c r="C151" s="97">
        <v>4.6900000000000004</v>
      </c>
      <c r="D151" s="97">
        <v>4.68</v>
      </c>
      <c r="E151" s="97">
        <v>4.8</v>
      </c>
      <c r="F151" s="1">
        <f>AVERAGE(C151:E151)</f>
        <v>4.7233333333333336</v>
      </c>
      <c r="G151" s="2">
        <f>_xlfn.STDEV.P(C151:E151)</f>
        <v>5.4365021434333548E-2</v>
      </c>
    </row>
  </sheetData>
  <mergeCells count="11">
    <mergeCell ref="A81:A92"/>
    <mergeCell ref="A1:A30"/>
    <mergeCell ref="A33:A44"/>
    <mergeCell ref="A45:A56"/>
    <mergeCell ref="A57:A67"/>
    <mergeCell ref="A68:A78"/>
    <mergeCell ref="A148:A151"/>
    <mergeCell ref="A93:A104"/>
    <mergeCell ref="A111:A122"/>
    <mergeCell ref="A123:A134"/>
    <mergeCell ref="A137:A14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1"/>
  <sheetViews>
    <sheetView zoomScale="90" zoomScaleNormal="90" workbookViewId="0">
      <pane ySplit="1" topLeftCell="A138" activePane="bottomLeft" state="frozen"/>
      <selection pane="bottomLeft" activeCell="A153" sqref="A153:XFD153"/>
    </sheetView>
  </sheetViews>
  <sheetFormatPr defaultRowHeight="15" x14ac:dyDescent="0.25"/>
  <cols>
    <col min="1" max="1" width="15.85546875" customWidth="1"/>
    <col min="2" max="2" width="43.140625" style="27" customWidth="1"/>
    <col min="3" max="5" width="20.42578125" bestFit="1" customWidth="1"/>
    <col min="6" max="6" width="13.28515625" style="1" bestFit="1" customWidth="1"/>
    <col min="7" max="7" width="17.5703125" style="2" bestFit="1" customWidth="1"/>
  </cols>
  <sheetData>
    <row r="1" spans="1:7" x14ac:dyDescent="0.25">
      <c r="A1" s="164" t="s">
        <v>24</v>
      </c>
      <c r="B1" s="16" t="s">
        <v>25</v>
      </c>
      <c r="C1" t="s">
        <v>243</v>
      </c>
      <c r="D1" t="s">
        <v>244</v>
      </c>
      <c r="E1" t="s">
        <v>245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8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8">
        <v>0.8</v>
      </c>
      <c r="D5" s="8">
        <v>0.95</v>
      </c>
      <c r="E5" s="8">
        <v>0.8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s="8" t="s">
        <v>246</v>
      </c>
      <c r="D8" s="8" t="s">
        <v>247</v>
      </c>
      <c r="E8" s="8" t="s">
        <v>248</v>
      </c>
    </row>
    <row r="9" spans="1:7" x14ac:dyDescent="0.25">
      <c r="A9" s="164"/>
      <c r="B9" s="20" t="s">
        <v>44</v>
      </c>
      <c r="C9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9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8">
        <v>3.7004700000000001E-2</v>
      </c>
      <c r="D12" s="8">
        <v>3.7040700000000003E-2</v>
      </c>
      <c r="E12" s="8">
        <v>3.7100899999999999E-2</v>
      </c>
      <c r="F12" s="1">
        <f>AVERAGE(C12:E12)</f>
        <v>3.704876666666667E-2</v>
      </c>
      <c r="G12" s="2">
        <f>_xlfn.STDEV.P(C12:E12)</f>
        <v>3.9685541727714069E-5</v>
      </c>
    </row>
    <row r="13" spans="1:7" x14ac:dyDescent="0.25">
      <c r="A13" s="164"/>
      <c r="B13" s="21" t="s">
        <v>49</v>
      </c>
      <c r="C13" s="8">
        <v>75</v>
      </c>
      <c r="D13" s="8">
        <v>75</v>
      </c>
      <c r="E13" s="8">
        <v>75</v>
      </c>
      <c r="F13" s="1">
        <f t="shared" ref="F13:F76" si="0">AVERAGE(C13:E13)</f>
        <v>75</v>
      </c>
      <c r="G13" s="2">
        <f t="shared" ref="G13:G76" si="1">_xlfn.STDEV.P(C13:E13)</f>
        <v>0</v>
      </c>
    </row>
    <row r="14" spans="1:7" x14ac:dyDescent="0.25">
      <c r="A14" s="164"/>
      <c r="B14" s="20" t="s">
        <v>50</v>
      </c>
      <c r="C14" s="8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10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3.1434700000000003E-2</v>
      </c>
      <c r="D18" s="11">
        <f>D12-D14</f>
        <v>3.1470700000000004E-2</v>
      </c>
      <c r="E18" s="11">
        <f>E12-E14</f>
        <v>3.1530900000000001E-2</v>
      </c>
      <c r="F18" s="1">
        <f t="shared" si="0"/>
        <v>3.1478766666666665E-2</v>
      </c>
      <c r="G18" s="2">
        <f t="shared" si="1"/>
        <v>3.9685541727714069E-5</v>
      </c>
    </row>
    <row r="19" spans="1:7" x14ac:dyDescent="0.25">
      <c r="A19" s="164"/>
      <c r="B19" s="23" t="s">
        <v>55</v>
      </c>
      <c r="C19" s="12">
        <f>C18*C10/100*C11</f>
        <v>4.9792564800000001</v>
      </c>
      <c r="D19" s="12">
        <f>D18*D10/100*D11</f>
        <v>4.9849588800000006</v>
      </c>
      <c r="E19" s="12">
        <f>E18*E10/100*E11</f>
        <v>4.9944945600000006</v>
      </c>
      <c r="F19" s="1">
        <f t="shared" si="0"/>
        <v>4.9862366400000004</v>
      </c>
      <c r="G19" s="2">
        <f t="shared" si="1"/>
        <v>6.286189809670259E-3</v>
      </c>
    </row>
    <row r="20" spans="1:7" x14ac:dyDescent="0.25">
      <c r="A20" s="164"/>
      <c r="B20" s="23" t="s">
        <v>56</v>
      </c>
      <c r="C20" s="12">
        <f>C19/C16</f>
        <v>2.8958189761460549</v>
      </c>
      <c r="D20" s="12">
        <f>D19/D16</f>
        <v>2.8991353584605437</v>
      </c>
      <c r="E20" s="12">
        <f>E19/E16</f>
        <v>2.9046810866642163</v>
      </c>
      <c r="F20" s="1">
        <f t="shared" si="0"/>
        <v>2.8998784737569387</v>
      </c>
      <c r="G20" s="2">
        <f t="shared" si="1"/>
        <v>3.655900797963808E-3</v>
      </c>
    </row>
    <row r="21" spans="1:7" x14ac:dyDescent="0.25">
      <c r="A21" s="164"/>
      <c r="B21" s="22" t="s">
        <v>57</v>
      </c>
      <c r="C21" s="13">
        <f>C13-C15</f>
        <v>62</v>
      </c>
      <c r="D21" s="13">
        <f>D13-D15</f>
        <v>62</v>
      </c>
      <c r="E21" s="13">
        <f>E13-E15</f>
        <v>62</v>
      </c>
      <c r="F21" s="1">
        <f t="shared" si="0"/>
        <v>62</v>
      </c>
      <c r="G21" s="2">
        <f t="shared" si="1"/>
        <v>0</v>
      </c>
    </row>
    <row r="22" spans="1:7" x14ac:dyDescent="0.25">
      <c r="A22" s="164"/>
      <c r="B22" s="22" t="s">
        <v>58</v>
      </c>
      <c r="C22" s="13">
        <f>C18/(C16/10^4)</f>
        <v>182.81685455467519</v>
      </c>
      <c r="D22" s="13">
        <f>D18/(D16/10^4)</f>
        <v>183.02622212503434</v>
      </c>
      <c r="E22" s="13">
        <f>E18/(E16/10^4)</f>
        <v>183.37633122880155</v>
      </c>
      <c r="F22" s="1">
        <f t="shared" si="0"/>
        <v>183.07313596950368</v>
      </c>
      <c r="G22" s="2">
        <f t="shared" si="1"/>
        <v>0.23080181805327254</v>
      </c>
    </row>
    <row r="23" spans="1:7" x14ac:dyDescent="0.25">
      <c r="A23" s="164"/>
      <c r="B23" s="22" t="s">
        <v>59</v>
      </c>
      <c r="C23" s="13">
        <f>C18/C16/(C21/10^4)</f>
        <v>2.9486589444302447</v>
      </c>
      <c r="D23" s="13">
        <f>D18/D16/(D21/10^4)</f>
        <v>2.95203584072636</v>
      </c>
      <c r="E23" s="13">
        <f>E18/E16/(E21/10^4)</f>
        <v>2.9576827617548633</v>
      </c>
      <c r="F23" s="1">
        <f t="shared" si="0"/>
        <v>2.9527925156371562</v>
      </c>
      <c r="G23" s="2">
        <f t="shared" si="1"/>
        <v>3.7226099686011524E-3</v>
      </c>
    </row>
    <row r="24" spans="1:7" x14ac:dyDescent="0.25">
      <c r="A24" s="164"/>
      <c r="B24" s="22" t="s">
        <v>60</v>
      </c>
      <c r="C24" s="13">
        <f>(1-C23/C17)*100</f>
        <v>33.856910174287925</v>
      </c>
      <c r="D24" s="13">
        <f>(1-D23/D17)*100</f>
        <v>33.781161042477351</v>
      </c>
      <c r="E24" s="13">
        <f>(1-E23/E17)*100</f>
        <v>33.654491660949681</v>
      </c>
      <c r="F24" s="1">
        <f t="shared" si="0"/>
        <v>33.764187625904981</v>
      </c>
      <c r="G24" s="2">
        <f t="shared" si="1"/>
        <v>8.3504036980737426E-2</v>
      </c>
    </row>
    <row r="25" spans="1:7" x14ac:dyDescent="0.25">
      <c r="A25" s="164"/>
      <c r="B25" s="24" t="s">
        <v>61</v>
      </c>
      <c r="C25" s="14">
        <f>(C18*C10)/100</f>
        <v>3.0177312000000001E-2</v>
      </c>
      <c r="D25" s="14">
        <f>(D18*D10)/100</f>
        <v>3.0211872000000004E-2</v>
      </c>
      <c r="E25" s="14">
        <f>(E18*E10)/100</f>
        <v>3.0269664000000002E-2</v>
      </c>
      <c r="F25" s="1">
        <f t="shared" si="0"/>
        <v>3.0219616000000005E-2</v>
      </c>
      <c r="G25" s="2">
        <f t="shared" si="1"/>
        <v>3.809812005860655E-5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t="s">
        <v>122</v>
      </c>
      <c r="D28" t="s">
        <v>122</v>
      </c>
      <c r="E28" t="s">
        <v>122</v>
      </c>
    </row>
    <row r="29" spans="1:7" x14ac:dyDescent="0.25">
      <c r="A29" s="164"/>
      <c r="B29" s="18" t="s">
        <v>67</v>
      </c>
      <c r="C29" t="s">
        <v>170</v>
      </c>
      <c r="D29" t="s">
        <v>249</v>
      </c>
      <c r="E29" t="s">
        <v>250</v>
      </c>
    </row>
    <row r="30" spans="1:7" x14ac:dyDescent="0.25">
      <c r="A30" s="164"/>
      <c r="B30" s="25" t="s">
        <v>71</v>
      </c>
      <c r="C30" s="92">
        <v>3.3069999999999999</v>
      </c>
      <c r="D30">
        <v>3.3039999999999998</v>
      </c>
    </row>
    <row r="31" spans="1:7" x14ac:dyDescent="0.25">
      <c r="A31" s="46"/>
    </row>
    <row r="33" spans="1:7" ht="15.75" thickTop="1" x14ac:dyDescent="0.25">
      <c r="A33" s="165" t="s">
        <v>72</v>
      </c>
      <c r="B33" s="28" t="s">
        <v>73</v>
      </c>
      <c r="C33" s="75">
        <v>5.4406658999999999</v>
      </c>
      <c r="D33" s="76">
        <v>5.7188756700000001</v>
      </c>
      <c r="E33" s="118">
        <v>5.5060150200000004</v>
      </c>
      <c r="F33" s="1">
        <f t="shared" si="0"/>
        <v>5.5551855300000001</v>
      </c>
      <c r="G33" s="2">
        <f t="shared" si="1"/>
        <v>0.11878123679298931</v>
      </c>
    </row>
    <row r="34" spans="1:7" x14ac:dyDescent="0.25">
      <c r="A34" s="166"/>
      <c r="B34" s="29" t="s">
        <v>74</v>
      </c>
      <c r="C34" s="78">
        <v>5.0401409900000003</v>
      </c>
      <c r="D34" s="79">
        <v>5.0478476199999998</v>
      </c>
      <c r="E34" s="114">
        <v>5.0498690799999997</v>
      </c>
      <c r="F34" s="1">
        <f t="shared" si="0"/>
        <v>5.0459525633333335</v>
      </c>
      <c r="G34" s="2">
        <f t="shared" si="1"/>
        <v>4.1914487224530587E-3</v>
      </c>
    </row>
    <row r="35" spans="1:7" x14ac:dyDescent="0.25">
      <c r="A35" s="166"/>
      <c r="B35" s="29" t="s">
        <v>75</v>
      </c>
      <c r="C35" s="78">
        <v>4.79818927</v>
      </c>
      <c r="D35" s="79">
        <v>4.8051476900000001</v>
      </c>
      <c r="E35" s="114">
        <v>4.8043225899999999</v>
      </c>
      <c r="F35" s="1">
        <f t="shared" si="0"/>
        <v>4.802553183333333</v>
      </c>
      <c r="G35" s="2">
        <f t="shared" si="1"/>
        <v>3.1040835671884088E-3</v>
      </c>
    </row>
    <row r="36" spans="1:7" x14ac:dyDescent="0.25">
      <c r="A36" s="166"/>
      <c r="B36" s="29" t="s">
        <v>76</v>
      </c>
      <c r="C36" s="78">
        <v>4.8214533299999998</v>
      </c>
      <c r="D36" s="79">
        <v>4.8290817500000003</v>
      </c>
      <c r="E36" s="114">
        <v>4.8293313199999996</v>
      </c>
      <c r="F36" s="1">
        <f t="shared" si="0"/>
        <v>4.8266221333333332</v>
      </c>
      <c r="G36" s="2">
        <f t="shared" si="1"/>
        <v>3.6563157431340021E-3</v>
      </c>
    </row>
    <row r="37" spans="1:7" x14ac:dyDescent="0.25">
      <c r="A37" s="166"/>
      <c r="B37" s="29" t="s">
        <v>77</v>
      </c>
      <c r="C37" s="78">
        <v>4.8388961300000002</v>
      </c>
      <c r="D37" s="79">
        <v>4.8449402800000003</v>
      </c>
      <c r="E37" s="114">
        <v>4.8473086700000003</v>
      </c>
      <c r="F37" s="1">
        <f t="shared" si="0"/>
        <v>4.8437150266666675</v>
      </c>
      <c r="G37" s="2">
        <f t="shared" si="1"/>
        <v>3.5419995869596962E-3</v>
      </c>
    </row>
    <row r="38" spans="1:7" x14ac:dyDescent="0.25">
      <c r="A38" s="166"/>
      <c r="B38" s="29" t="s">
        <v>78</v>
      </c>
      <c r="C38" s="78">
        <v>4.8534001499999997</v>
      </c>
      <c r="D38" s="79">
        <v>4.8584754300000004</v>
      </c>
      <c r="E38" s="114">
        <v>4.8617508799999998</v>
      </c>
      <c r="F38" s="1">
        <f t="shared" si="0"/>
        <v>4.8578754866666669</v>
      </c>
      <c r="G38" s="2">
        <f t="shared" si="1"/>
        <v>3.435464246710001E-3</v>
      </c>
    </row>
    <row r="39" spans="1:7" x14ac:dyDescent="0.25">
      <c r="A39" s="166"/>
      <c r="B39" s="29" t="s">
        <v>79</v>
      </c>
      <c r="C39" s="78">
        <v>4.8843342700000001</v>
      </c>
      <c r="D39" s="79">
        <v>4.8894733600000002</v>
      </c>
      <c r="E39" s="114">
        <v>4.8923823999999998</v>
      </c>
      <c r="F39" s="1">
        <f t="shared" si="0"/>
        <v>4.8887300099999997</v>
      </c>
      <c r="G39" s="2">
        <f t="shared" si="1"/>
        <v>3.3274140150271882E-3</v>
      </c>
    </row>
    <row r="40" spans="1:7" x14ac:dyDescent="0.25">
      <c r="A40" s="166"/>
      <c r="B40" s="29" t="s">
        <v>80</v>
      </c>
      <c r="C40" s="78">
        <v>4.8780076699999997</v>
      </c>
      <c r="D40" s="79">
        <v>4.8826103200000004</v>
      </c>
      <c r="E40" s="114">
        <v>4.8865533000000001</v>
      </c>
      <c r="F40" s="1">
        <f t="shared" si="0"/>
        <v>4.8823904300000001</v>
      </c>
      <c r="G40" s="2">
        <f t="shared" si="1"/>
        <v>3.4922019541927872E-3</v>
      </c>
    </row>
    <row r="41" spans="1:7" x14ac:dyDescent="0.25">
      <c r="A41" s="166"/>
      <c r="B41" s="29" t="s">
        <v>80</v>
      </c>
      <c r="C41" s="78">
        <v>4.6751208899999996</v>
      </c>
      <c r="D41" s="79">
        <v>4.6805739700000002</v>
      </c>
      <c r="E41" s="114">
        <v>4.68077831</v>
      </c>
      <c r="F41" s="1">
        <f t="shared" si="0"/>
        <v>4.6788243899999999</v>
      </c>
      <c r="G41" s="2">
        <f t="shared" si="1"/>
        <v>2.620098331030303E-3</v>
      </c>
    </row>
    <row r="42" spans="1:7" x14ac:dyDescent="0.25">
      <c r="A42" s="166"/>
      <c r="B42" s="29" t="s">
        <v>80</v>
      </c>
      <c r="C42" s="78">
        <v>4.4772706400000004</v>
      </c>
      <c r="D42" s="79">
        <v>4.4837208200000003</v>
      </c>
      <c r="E42" s="114">
        <v>4.4853128399999997</v>
      </c>
      <c r="F42" s="1">
        <f t="shared" si="0"/>
        <v>4.4821014333333338</v>
      </c>
      <c r="G42" s="2">
        <f t="shared" si="1"/>
        <v>3.4771688763639277E-3</v>
      </c>
    </row>
    <row r="43" spans="1:7" x14ac:dyDescent="0.25">
      <c r="A43" s="166"/>
      <c r="B43" s="29" t="s">
        <v>80</v>
      </c>
      <c r="C43" s="78">
        <v>3.9880719400000002</v>
      </c>
      <c r="D43" s="79">
        <v>3.99619123</v>
      </c>
      <c r="E43" s="114">
        <v>3.99354553</v>
      </c>
      <c r="F43" s="1">
        <f t="shared" si="0"/>
        <v>3.9926029000000001</v>
      </c>
      <c r="G43" s="2">
        <f t="shared" si="1"/>
        <v>3.3810384020000941E-3</v>
      </c>
    </row>
    <row r="44" spans="1:7" ht="15.75" thickBot="1" x14ac:dyDescent="0.3">
      <c r="A44" s="167"/>
      <c r="B44" s="30" t="s">
        <v>80</v>
      </c>
      <c r="C44" s="81">
        <v>2.2698702599999998</v>
      </c>
      <c r="D44" s="82">
        <v>1.92195966</v>
      </c>
      <c r="E44" s="115">
        <v>1.9805476399999999</v>
      </c>
      <c r="F44" s="1">
        <f t="shared" si="0"/>
        <v>2.0574591866666667</v>
      </c>
      <c r="G44" s="2">
        <f t="shared" si="1"/>
        <v>0.15208985481415058</v>
      </c>
    </row>
    <row r="45" spans="1:7" ht="15.75" thickTop="1" x14ac:dyDescent="0.25">
      <c r="A45" s="165" t="s">
        <v>81</v>
      </c>
      <c r="B45" s="28" t="s">
        <v>73</v>
      </c>
      <c r="C45" s="78">
        <v>4.9628973199999997</v>
      </c>
      <c r="D45" s="79">
        <v>4.7424206399999997</v>
      </c>
      <c r="E45" s="114">
        <v>5.0199418700000003</v>
      </c>
      <c r="F45" s="1">
        <f t="shared" si="0"/>
        <v>4.9084199433333326</v>
      </c>
      <c r="G45" s="2">
        <f t="shared" si="1"/>
        <v>0.11966716815551286</v>
      </c>
    </row>
    <row r="46" spans="1:7" x14ac:dyDescent="0.25">
      <c r="A46" s="166"/>
      <c r="B46" s="29" t="s">
        <v>74</v>
      </c>
      <c r="C46" s="78">
        <v>4.7834601000000001</v>
      </c>
      <c r="D46" s="79">
        <v>4.7937991000000002</v>
      </c>
      <c r="E46" s="114">
        <v>4.79173925</v>
      </c>
      <c r="F46" s="1">
        <f t="shared" si="0"/>
        <v>4.7896661499999995</v>
      </c>
      <c r="G46" s="2">
        <f t="shared" si="1"/>
        <v>4.4681866536288297E-3</v>
      </c>
    </row>
    <row r="47" spans="1:7" x14ac:dyDescent="0.25">
      <c r="A47" s="166"/>
      <c r="B47" s="29" t="s">
        <v>75</v>
      </c>
      <c r="C47" s="78">
        <v>4.8086345799999997</v>
      </c>
      <c r="D47" s="79">
        <v>4.8174409499999999</v>
      </c>
      <c r="E47" s="114">
        <v>4.8181733500000004</v>
      </c>
      <c r="F47" s="1">
        <f t="shared" si="0"/>
        <v>4.8147496266666669</v>
      </c>
      <c r="G47" s="2">
        <f t="shared" si="1"/>
        <v>4.3343164967990424E-3</v>
      </c>
    </row>
    <row r="48" spans="1:7" x14ac:dyDescent="0.25">
      <c r="A48" s="166"/>
      <c r="B48" s="29" t="s">
        <v>76</v>
      </c>
      <c r="C48" s="78">
        <v>4.8270737099999996</v>
      </c>
      <c r="D48" s="79">
        <v>4.8340940000000003</v>
      </c>
      <c r="E48" s="114">
        <v>4.8367122699999996</v>
      </c>
      <c r="F48" s="1">
        <f t="shared" si="0"/>
        <v>4.8326266599999999</v>
      </c>
      <c r="G48" s="2">
        <f t="shared" si="1"/>
        <v>4.0694204931497622E-3</v>
      </c>
    </row>
    <row r="49" spans="1:7" x14ac:dyDescent="0.25">
      <c r="A49" s="166"/>
      <c r="B49" s="29" t="s">
        <v>77</v>
      </c>
      <c r="C49" s="78">
        <v>4.8422006900000003</v>
      </c>
      <c r="D49" s="79">
        <v>4.8478978100000001</v>
      </c>
      <c r="E49" s="114">
        <v>4.85159932</v>
      </c>
      <c r="F49" s="1">
        <f t="shared" si="0"/>
        <v>4.8472326066666671</v>
      </c>
      <c r="G49" s="2">
        <f t="shared" si="1"/>
        <v>3.8656981323112521E-3</v>
      </c>
    </row>
    <row r="50" spans="1:7" x14ac:dyDescent="0.25">
      <c r="A50" s="166"/>
      <c r="B50" s="29" t="s">
        <v>78</v>
      </c>
      <c r="C50" s="78">
        <v>4.8549028400000003</v>
      </c>
      <c r="D50" s="79">
        <v>4.8608283099999996</v>
      </c>
      <c r="E50" s="114">
        <v>4.8643603300000002</v>
      </c>
      <c r="F50" s="1">
        <f t="shared" si="0"/>
        <v>4.8600304933333334</v>
      </c>
      <c r="G50" s="2">
        <f t="shared" si="1"/>
        <v>3.9020005851898251E-3</v>
      </c>
    </row>
    <row r="51" spans="1:7" x14ac:dyDescent="0.25">
      <c r="A51" s="166"/>
      <c r="B51" s="29" t="s">
        <v>79</v>
      </c>
      <c r="C51" s="78">
        <v>4.8831903499999996</v>
      </c>
      <c r="D51" s="79">
        <v>4.8879391999999999</v>
      </c>
      <c r="E51" s="114">
        <v>4.8918138200000003</v>
      </c>
      <c r="F51" s="1">
        <f t="shared" si="0"/>
        <v>4.8876477899999999</v>
      </c>
      <c r="G51" s="2">
        <f t="shared" si="1"/>
        <v>3.5265420788928828E-3</v>
      </c>
    </row>
    <row r="52" spans="1:7" x14ac:dyDescent="0.25">
      <c r="A52" s="166"/>
      <c r="B52" s="29" t="s">
        <v>82</v>
      </c>
      <c r="C52" s="78">
        <v>4.6649555400000002</v>
      </c>
      <c r="D52" s="79">
        <v>4.6708152399999996</v>
      </c>
      <c r="E52" s="114">
        <v>4.6716644000000001</v>
      </c>
      <c r="F52" s="1">
        <f t="shared" si="0"/>
        <v>4.6691450600000008</v>
      </c>
      <c r="G52" s="2">
        <f t="shared" si="1"/>
        <v>2.9826527956612115E-3</v>
      </c>
    </row>
    <row r="53" spans="1:7" x14ac:dyDescent="0.25">
      <c r="A53" s="166"/>
      <c r="B53" s="29" t="s">
        <v>83</v>
      </c>
      <c r="C53" s="78">
        <v>4.4691267999999997</v>
      </c>
      <c r="D53" s="79">
        <v>4.4756267999999997</v>
      </c>
      <c r="E53" s="114">
        <v>4.4779782900000002</v>
      </c>
      <c r="F53" s="1">
        <f t="shared" si="0"/>
        <v>4.4742439633333326</v>
      </c>
      <c r="G53" s="2">
        <f t="shared" si="1"/>
        <v>3.743563074579724E-3</v>
      </c>
    </row>
    <row r="54" spans="1:7" x14ac:dyDescent="0.25">
      <c r="A54" s="166"/>
      <c r="B54" s="29" t="s">
        <v>84</v>
      </c>
      <c r="C54" s="78">
        <v>4.1419904499999998</v>
      </c>
      <c r="D54" s="79">
        <v>4.1346225399999996</v>
      </c>
      <c r="E54" s="114">
        <v>4.1608977999999999</v>
      </c>
      <c r="F54" s="1">
        <f t="shared" si="0"/>
        <v>4.1458369300000006</v>
      </c>
      <c r="G54" s="2">
        <f t="shared" si="1"/>
        <v>1.1066281468488053E-2</v>
      </c>
    </row>
    <row r="55" spans="1:7" x14ac:dyDescent="0.25">
      <c r="A55" s="166"/>
      <c r="B55" s="29" t="s">
        <v>85</v>
      </c>
      <c r="C55" s="78">
        <v>2.2648358100000001</v>
      </c>
      <c r="D55" s="79">
        <v>1.91851718</v>
      </c>
      <c r="E55" s="114">
        <v>1.97680189</v>
      </c>
      <c r="F55" s="1">
        <f t="shared" si="0"/>
        <v>2.0533849600000003</v>
      </c>
      <c r="G55" s="2">
        <f t="shared" si="1"/>
        <v>0.15139985321269397</v>
      </c>
    </row>
    <row r="56" spans="1:7" ht="15.75" thickBot="1" x14ac:dyDescent="0.3">
      <c r="A56" s="167"/>
      <c r="B56" s="30" t="s">
        <v>86</v>
      </c>
      <c r="C56" s="81">
        <v>0.50312354000000004</v>
      </c>
      <c r="D56" s="82">
        <v>0.44010422999999999</v>
      </c>
      <c r="E56" s="115">
        <v>0.49486919000000001</v>
      </c>
      <c r="F56" s="1">
        <f t="shared" si="0"/>
        <v>0.47936565333333331</v>
      </c>
      <c r="G56" s="2">
        <f t="shared" si="1"/>
        <v>2.7965789757011274E-2</v>
      </c>
    </row>
    <row r="57" spans="1:7" ht="15.75" thickTop="1" x14ac:dyDescent="0.25">
      <c r="A57" s="165" t="s">
        <v>87</v>
      </c>
      <c r="B57" s="31">
        <v>0.9</v>
      </c>
      <c r="C57" s="84">
        <v>21.609600100000002</v>
      </c>
      <c r="D57" s="85">
        <v>23.669741200000001</v>
      </c>
      <c r="E57" s="112">
        <v>19.4848572</v>
      </c>
      <c r="F57" s="1">
        <f t="shared" si="0"/>
        <v>21.588066166666664</v>
      </c>
      <c r="G57" s="2">
        <f t="shared" si="1"/>
        <v>1.7085395919864044</v>
      </c>
    </row>
    <row r="58" spans="1:7" x14ac:dyDescent="0.25">
      <c r="A58" s="166"/>
      <c r="B58" s="32">
        <v>0.8</v>
      </c>
      <c r="C58" s="87">
        <v>22.106520499999998</v>
      </c>
      <c r="D58" s="88">
        <v>24.987610400000001</v>
      </c>
      <c r="E58" s="119">
        <v>20.432319</v>
      </c>
      <c r="F58" s="1">
        <f t="shared" si="0"/>
        <v>22.508816633333328</v>
      </c>
      <c r="G58" s="2">
        <f t="shared" si="1"/>
        <v>1.8813207362381901</v>
      </c>
    </row>
    <row r="59" spans="1:7" x14ac:dyDescent="0.25">
      <c r="A59" s="166"/>
      <c r="B59" s="32">
        <v>0.7</v>
      </c>
      <c r="C59" s="78">
        <v>22.9401361</v>
      </c>
      <c r="D59" s="79">
        <v>26.909710499999999</v>
      </c>
      <c r="E59" s="114">
        <v>21.7713912</v>
      </c>
      <c r="F59" s="1">
        <f t="shared" si="0"/>
        <v>23.873745933333336</v>
      </c>
      <c r="G59" s="2">
        <f t="shared" si="1"/>
        <v>2.1991364665644921</v>
      </c>
    </row>
    <row r="60" spans="1:7" x14ac:dyDescent="0.25">
      <c r="A60" s="166"/>
      <c r="B60" s="32">
        <v>0.6</v>
      </c>
      <c r="C60" s="78">
        <v>24.624109600000001</v>
      </c>
      <c r="D60" s="79">
        <v>30.6992333</v>
      </c>
      <c r="E60" s="114">
        <v>23.985840899999999</v>
      </c>
      <c r="F60" s="1">
        <f t="shared" si="0"/>
        <v>26.4363946</v>
      </c>
      <c r="G60" s="2">
        <f t="shared" si="1"/>
        <v>3.0255238741979866</v>
      </c>
    </row>
    <row r="61" spans="1:7" x14ac:dyDescent="0.25">
      <c r="A61" s="166"/>
      <c r="B61" s="32">
        <v>0.5</v>
      </c>
      <c r="C61" s="78">
        <v>27.997257399999999</v>
      </c>
      <c r="D61" s="79">
        <v>39.196719999999999</v>
      </c>
      <c r="E61" s="114">
        <v>28.566948400000001</v>
      </c>
      <c r="F61" s="1">
        <f t="shared" si="0"/>
        <v>31.920308599999998</v>
      </c>
      <c r="G61" s="2">
        <f t="shared" si="1"/>
        <v>5.150453643800569</v>
      </c>
    </row>
    <row r="62" spans="1:7" x14ac:dyDescent="0.25">
      <c r="A62" s="166"/>
      <c r="B62" s="32">
        <v>0.4</v>
      </c>
      <c r="C62" s="78">
        <v>36.642729899999999</v>
      </c>
      <c r="D62" s="79">
        <v>62.162616200000002</v>
      </c>
      <c r="E62" s="114">
        <v>40.711933199999997</v>
      </c>
      <c r="F62" s="1">
        <f t="shared" si="0"/>
        <v>46.505759766666671</v>
      </c>
      <c r="G62" s="2">
        <f t="shared" si="1"/>
        <v>11.195012845152391</v>
      </c>
    </row>
    <row r="63" spans="1:7" x14ac:dyDescent="0.25">
      <c r="A63" s="166"/>
      <c r="B63" s="32">
        <v>0.3</v>
      </c>
      <c r="C63" s="78">
        <v>67.724902499999999</v>
      </c>
      <c r="D63" s="79">
        <v>70.833525499999993</v>
      </c>
      <c r="E63" s="114">
        <v>66.073408499999999</v>
      </c>
      <c r="F63" s="1">
        <f t="shared" si="0"/>
        <v>68.210612166666664</v>
      </c>
      <c r="G63" s="2">
        <f t="shared" si="1"/>
        <v>1.9734257647793285</v>
      </c>
    </row>
    <row r="64" spans="1:7" x14ac:dyDescent="0.25">
      <c r="A64" s="166"/>
      <c r="B64" s="32">
        <v>0.2</v>
      </c>
      <c r="C64" s="78">
        <v>69.901832099999993</v>
      </c>
      <c r="D64" s="79">
        <v>72.441405900000007</v>
      </c>
      <c r="E64" s="114">
        <v>66.322742000000005</v>
      </c>
      <c r="F64" s="1">
        <f t="shared" si="0"/>
        <v>69.555326666666659</v>
      </c>
      <c r="G64" s="2">
        <f t="shared" si="1"/>
        <v>2.5099218436421404</v>
      </c>
    </row>
    <row r="65" spans="1:7" x14ac:dyDescent="0.25">
      <c r="A65" s="166"/>
      <c r="B65" s="32">
        <v>0.1</v>
      </c>
      <c r="C65" s="78">
        <v>74.388210099999995</v>
      </c>
      <c r="D65" s="79">
        <v>77.832843199999999</v>
      </c>
      <c r="E65" s="114">
        <v>70.762212000000005</v>
      </c>
      <c r="F65" s="1">
        <f t="shared" si="0"/>
        <v>74.327755100000005</v>
      </c>
      <c r="G65" s="2">
        <f t="shared" si="1"/>
        <v>2.8868896176648997</v>
      </c>
    </row>
    <row r="66" spans="1:7" x14ac:dyDescent="0.25">
      <c r="A66" s="166"/>
      <c r="B66" s="32">
        <v>0.5</v>
      </c>
      <c r="C66" s="78">
        <v>20.636882700000001</v>
      </c>
      <c r="D66" s="79">
        <v>22.583580900000001</v>
      </c>
      <c r="E66" s="114">
        <v>17.6420502</v>
      </c>
      <c r="F66" s="1">
        <f t="shared" si="0"/>
        <v>20.287504600000002</v>
      </c>
      <c r="G66" s="2">
        <f t="shared" si="1"/>
        <v>2.0324419150913569</v>
      </c>
    </row>
    <row r="67" spans="1:7" ht="15.75" thickBot="1" x14ac:dyDescent="0.3">
      <c r="A67" s="167"/>
      <c r="B67" s="33">
        <v>0.2</v>
      </c>
      <c r="C67" s="81">
        <v>41.165092199999997</v>
      </c>
      <c r="D67" s="82">
        <v>60.340421499999998</v>
      </c>
      <c r="E67" s="115">
        <v>44.758275599999997</v>
      </c>
      <c r="F67" s="1">
        <f t="shared" si="0"/>
        <v>48.754596433333326</v>
      </c>
      <c r="G67" s="2">
        <f t="shared" si="1"/>
        <v>8.3227098388710061</v>
      </c>
    </row>
    <row r="68" spans="1:7" ht="15.75" thickTop="1" x14ac:dyDescent="0.25">
      <c r="A68" s="165" t="s">
        <v>88</v>
      </c>
      <c r="B68" s="31">
        <v>0.9</v>
      </c>
      <c r="C68" s="78">
        <v>22.0593936</v>
      </c>
      <c r="D68" s="79">
        <v>24.2056228</v>
      </c>
      <c r="E68" s="114">
        <v>19.937578899999998</v>
      </c>
      <c r="F68" s="1">
        <f t="shared" si="0"/>
        <v>22.067531766666665</v>
      </c>
      <c r="G68" s="2">
        <f t="shared" si="1"/>
        <v>1.7424311283183864</v>
      </c>
    </row>
    <row r="69" spans="1:7" x14ac:dyDescent="0.25">
      <c r="A69" s="166"/>
      <c r="B69" s="32">
        <v>0.8</v>
      </c>
      <c r="C69" s="78">
        <v>22.661115899999999</v>
      </c>
      <c r="D69" s="79">
        <v>25.579298999999999</v>
      </c>
      <c r="E69" s="114">
        <v>20.923887499999999</v>
      </c>
      <c r="F69" s="1">
        <f t="shared" si="0"/>
        <v>23.054767466666664</v>
      </c>
      <c r="G69" s="2">
        <f t="shared" si="1"/>
        <v>1.9208392654492468</v>
      </c>
    </row>
    <row r="70" spans="1:7" x14ac:dyDescent="0.25">
      <c r="A70" s="166"/>
      <c r="B70" s="32">
        <v>0.7</v>
      </c>
      <c r="C70" s="78">
        <v>23.494612100000001</v>
      </c>
      <c r="D70" s="79">
        <v>27.664161799999999</v>
      </c>
      <c r="E70" s="114">
        <v>22.299914600000001</v>
      </c>
      <c r="F70" s="1">
        <f t="shared" si="0"/>
        <v>24.486229499999997</v>
      </c>
      <c r="G70" s="2">
        <f t="shared" si="1"/>
        <v>2.2994587488746161</v>
      </c>
    </row>
    <row r="71" spans="1:7" x14ac:dyDescent="0.25">
      <c r="A71" s="166"/>
      <c r="B71" s="32">
        <v>0.6</v>
      </c>
      <c r="C71" s="78">
        <v>25.113921099999999</v>
      </c>
      <c r="D71" s="79">
        <v>31.690695000000002</v>
      </c>
      <c r="E71" s="114">
        <v>24.638119</v>
      </c>
      <c r="F71" s="1">
        <f t="shared" si="0"/>
        <v>27.147578366666668</v>
      </c>
      <c r="G71" s="2">
        <f t="shared" si="1"/>
        <v>3.2183358502641775</v>
      </c>
    </row>
    <row r="72" spans="1:7" x14ac:dyDescent="0.25">
      <c r="A72" s="166"/>
      <c r="B72" s="32">
        <v>0.5</v>
      </c>
      <c r="C72" s="78">
        <v>28.736200499999999</v>
      </c>
      <c r="D72" s="79">
        <v>40.399930599999998</v>
      </c>
      <c r="E72" s="114">
        <v>29.494701899999999</v>
      </c>
      <c r="F72" s="1">
        <f t="shared" si="0"/>
        <v>32.876944333333334</v>
      </c>
      <c r="G72" s="2">
        <f t="shared" si="1"/>
        <v>5.328559709702172</v>
      </c>
    </row>
    <row r="73" spans="1:7" x14ac:dyDescent="0.25">
      <c r="A73" s="166"/>
      <c r="B73" s="32">
        <v>0.4</v>
      </c>
      <c r="C73" s="78">
        <v>37.612696</v>
      </c>
      <c r="D73" s="79">
        <v>59.204940999999998</v>
      </c>
      <c r="E73" s="114">
        <v>41.1226378</v>
      </c>
      <c r="F73" s="1">
        <f t="shared" si="0"/>
        <v>45.980091600000002</v>
      </c>
      <c r="G73" s="2">
        <f t="shared" si="1"/>
        <v>9.4605286708991407</v>
      </c>
    </row>
    <row r="74" spans="1:7" x14ac:dyDescent="0.25">
      <c r="A74" s="166"/>
      <c r="B74" s="32">
        <v>0.3</v>
      </c>
      <c r="C74" s="78">
        <v>63.3543947</v>
      </c>
      <c r="D74" s="79">
        <v>65.217227100000002</v>
      </c>
      <c r="E74" s="114">
        <v>60.2246326</v>
      </c>
      <c r="F74" s="1">
        <f t="shared" si="0"/>
        <v>62.932084800000005</v>
      </c>
      <c r="G74" s="2">
        <f t="shared" si="1"/>
        <v>2.0599772165546035</v>
      </c>
    </row>
    <row r="75" spans="1:7" x14ac:dyDescent="0.25">
      <c r="A75" s="166"/>
      <c r="B75" s="32">
        <v>0.2</v>
      </c>
      <c r="C75" s="78">
        <v>67.069286700000006</v>
      </c>
      <c r="D75" s="79">
        <v>68.1808111</v>
      </c>
      <c r="E75" s="114">
        <v>61.970110300000002</v>
      </c>
      <c r="F75" s="1">
        <f t="shared" si="0"/>
        <v>65.74006936666666</v>
      </c>
      <c r="G75" s="2">
        <f t="shared" si="1"/>
        <v>2.7041098530700136</v>
      </c>
    </row>
    <row r="76" spans="1:7" x14ac:dyDescent="0.25">
      <c r="A76" s="166"/>
      <c r="B76" s="32">
        <v>0.1</v>
      </c>
      <c r="C76" s="78">
        <v>108.644747</v>
      </c>
      <c r="D76" s="79">
        <v>111.786188</v>
      </c>
      <c r="E76" s="114">
        <v>100.642095</v>
      </c>
      <c r="F76" s="1">
        <f t="shared" si="0"/>
        <v>107.02434333333332</v>
      </c>
      <c r="G76" s="2">
        <f t="shared" si="1"/>
        <v>4.6916225502038786</v>
      </c>
    </row>
    <row r="77" spans="1:7" x14ac:dyDescent="0.25">
      <c r="A77" s="166"/>
      <c r="B77" s="32">
        <v>0.5</v>
      </c>
      <c r="C77" s="78">
        <v>20.834369200000001</v>
      </c>
      <c r="D77" s="79">
        <v>22.871744</v>
      </c>
      <c r="E77" s="114">
        <v>17.783784300000001</v>
      </c>
      <c r="F77" s="1">
        <f t="shared" ref="F77:F138" si="2">AVERAGE(C77:E77)</f>
        <v>20.4966325</v>
      </c>
      <c r="G77" s="2">
        <f t="shared" ref="G77:G138" si="3">_xlfn.STDEV.P(C77:E77)</f>
        <v>2.0908344484282027</v>
      </c>
    </row>
    <row r="78" spans="1:7" ht="15.75" thickBot="1" x14ac:dyDescent="0.3">
      <c r="A78" s="167"/>
      <c r="B78" s="33">
        <v>0.2</v>
      </c>
      <c r="C78" s="81">
        <v>47.381318200000003</v>
      </c>
      <c r="D78" s="82">
        <v>70.207871400000002</v>
      </c>
      <c r="E78" s="115">
        <v>51.640739600000003</v>
      </c>
      <c r="F78" s="1">
        <f t="shared" si="2"/>
        <v>56.409976400000005</v>
      </c>
      <c r="G78" s="2">
        <f t="shared" si="3"/>
        <v>9.9103345886659202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3.0177312000000001E-2</v>
      </c>
      <c r="D80">
        <f>D25</f>
        <v>3.0211872000000004E-2</v>
      </c>
      <c r="E80">
        <f>E25</f>
        <v>3.0269664000000002E-2</v>
      </c>
      <c r="F80" s="1">
        <f t="shared" si="2"/>
        <v>3.0219616000000005E-2</v>
      </c>
      <c r="G80" s="2">
        <f t="shared" si="3"/>
        <v>3.809812005860655E-5</v>
      </c>
    </row>
    <row r="81" spans="1:7" ht="15.75" thickTop="1" x14ac:dyDescent="0.25">
      <c r="A81" s="161" t="s">
        <v>90</v>
      </c>
      <c r="B81" s="38" t="s">
        <v>73</v>
      </c>
      <c r="C81">
        <f>C33/C80</f>
        <v>180.28994431313166</v>
      </c>
      <c r="D81">
        <f>D33/D80</f>
        <v>189.29233084265681</v>
      </c>
      <c r="E81">
        <f>E33/E80</f>
        <v>181.89878222632402</v>
      </c>
      <c r="F81" s="1">
        <f t="shared" si="2"/>
        <v>183.82701912737082</v>
      </c>
      <c r="G81" s="2">
        <f t="shared" si="3"/>
        <v>3.9199756773618675</v>
      </c>
    </row>
    <row r="82" spans="1:7" x14ac:dyDescent="0.25">
      <c r="A82" s="162"/>
      <c r="B82" s="38" t="s">
        <v>74</v>
      </c>
      <c r="C82">
        <f>C34/C80</f>
        <v>167.01755908544803</v>
      </c>
      <c r="D82">
        <f>D34/D80</f>
        <v>167.08159030992846</v>
      </c>
      <c r="E82">
        <f>E34/E80</f>
        <v>166.8293734611656</v>
      </c>
      <c r="F82" s="1">
        <f t="shared" si="2"/>
        <v>166.97617428551402</v>
      </c>
      <c r="G82" s="2">
        <f t="shared" si="3"/>
        <v>0.10704472881043441</v>
      </c>
    </row>
    <row r="83" spans="1:7" x14ac:dyDescent="0.25">
      <c r="A83" s="162"/>
      <c r="B83" s="38" t="s">
        <v>75</v>
      </c>
      <c r="C83">
        <f>C35/C80</f>
        <v>158.99988938709981</v>
      </c>
      <c r="D83">
        <f>D35/D80</f>
        <v>159.04832676373047</v>
      </c>
      <c r="E83">
        <f>E35/E80</f>
        <v>158.71740730257196</v>
      </c>
      <c r="F83" s="1">
        <f t="shared" si="2"/>
        <v>158.92187448446739</v>
      </c>
      <c r="G83" s="2">
        <f t="shared" si="3"/>
        <v>0.14592615990725724</v>
      </c>
    </row>
    <row r="84" spans="1:7" x14ac:dyDescent="0.25">
      <c r="A84" s="162"/>
      <c r="B84" s="38" t="s">
        <v>76</v>
      </c>
      <c r="C84">
        <f>C36/C80</f>
        <v>159.77080165390475</v>
      </c>
      <c r="D84">
        <f>D36/D80</f>
        <v>159.8405338801912</v>
      </c>
      <c r="E84">
        <f>E36/E80</f>
        <v>159.5436051090623</v>
      </c>
      <c r="F84" s="1">
        <f t="shared" si="2"/>
        <v>159.71831354771942</v>
      </c>
      <c r="G84" s="2">
        <f t="shared" si="3"/>
        <v>0.12677519407524129</v>
      </c>
    </row>
    <row r="85" spans="1:7" x14ac:dyDescent="0.25">
      <c r="A85" s="162"/>
      <c r="B85" s="38" t="s">
        <v>77</v>
      </c>
      <c r="C85">
        <f>C37/C80</f>
        <v>160.34881204793854</v>
      </c>
      <c r="D85">
        <f>D37/D80</f>
        <v>160.3654444186709</v>
      </c>
      <c r="E85">
        <f>E37/E80</f>
        <v>160.13751160237524</v>
      </c>
      <c r="F85" s="1">
        <f t="shared" si="2"/>
        <v>160.28392268966155</v>
      </c>
      <c r="G85" s="2">
        <f t="shared" si="3"/>
        <v>0.10375070698334694</v>
      </c>
    </row>
    <row r="86" spans="1:7" x14ac:dyDescent="0.25">
      <c r="A86" s="162"/>
      <c r="B86" s="38" t="s">
        <v>78</v>
      </c>
      <c r="C86">
        <f>C38/C80</f>
        <v>160.82943868559266</v>
      </c>
      <c r="D86">
        <f>D38/D80</f>
        <v>160.81345207605804</v>
      </c>
      <c r="E86">
        <f>E38/E80</f>
        <v>160.61462988158704</v>
      </c>
      <c r="F86" s="1">
        <f t="shared" si="2"/>
        <v>160.75250688107926</v>
      </c>
      <c r="G86" s="2">
        <f t="shared" si="3"/>
        <v>9.7711968433877333E-2</v>
      </c>
    </row>
    <row r="87" spans="1:7" x14ac:dyDescent="0.25">
      <c r="A87" s="162"/>
      <c r="B87" s="38" t="s">
        <v>79</v>
      </c>
      <c r="C87">
        <f>C39/C80</f>
        <v>161.85451739372942</v>
      </c>
      <c r="D87">
        <f>D39/D80</f>
        <v>161.83947025857913</v>
      </c>
      <c r="E87">
        <f>E39/E80</f>
        <v>161.62658429244539</v>
      </c>
      <c r="F87" s="1">
        <f t="shared" si="2"/>
        <v>161.77352398158465</v>
      </c>
      <c r="G87" s="2">
        <f t="shared" si="3"/>
        <v>0.10408348652985068</v>
      </c>
    </row>
    <row r="88" spans="1:7" x14ac:dyDescent="0.25">
      <c r="A88" s="162"/>
      <c r="B88" s="38" t="s">
        <v>80</v>
      </c>
      <c r="C88">
        <f>C40/C80</f>
        <v>161.64486982803504</v>
      </c>
      <c r="D88">
        <f>D40/D80</f>
        <v>161.61230657934735</v>
      </c>
      <c r="E88">
        <f>E40/E80</f>
        <v>161.43401195335369</v>
      </c>
      <c r="F88" s="1">
        <f t="shared" si="2"/>
        <v>161.5637294535787</v>
      </c>
      <c r="G88" s="2">
        <f t="shared" si="3"/>
        <v>9.2682481946848916E-2</v>
      </c>
    </row>
    <row r="89" spans="1:7" x14ac:dyDescent="0.25">
      <c r="A89" s="162"/>
      <c r="B89" s="38" t="s">
        <v>80</v>
      </c>
      <c r="C89">
        <f>C41/C80</f>
        <v>154.92171370332784</v>
      </c>
      <c r="D89">
        <f>D41/D80</f>
        <v>154.92499008336853</v>
      </c>
      <c r="E89">
        <f>E41/E80</f>
        <v>154.63595202113905</v>
      </c>
      <c r="F89" s="1">
        <f t="shared" si="2"/>
        <v>154.82755193594514</v>
      </c>
      <c r="G89" s="2">
        <f t="shared" si="3"/>
        <v>0.13548820165563891</v>
      </c>
    </row>
    <row r="90" spans="1:7" x14ac:dyDescent="0.25">
      <c r="A90" s="162"/>
      <c r="B90" s="38" t="s">
        <v>80</v>
      </c>
      <c r="C90">
        <f>C42/C80</f>
        <v>148.36545547860592</v>
      </c>
      <c r="D90">
        <f>D42/D80</f>
        <v>148.40923528340116</v>
      </c>
      <c r="E90">
        <f>E42/E80</f>
        <v>148.17848126758193</v>
      </c>
      <c r="F90" s="1">
        <f t="shared" si="2"/>
        <v>148.31772400986301</v>
      </c>
      <c r="G90" s="2">
        <f t="shared" si="3"/>
        <v>0.10006855578532996</v>
      </c>
    </row>
    <row r="91" spans="1:7" x14ac:dyDescent="0.25">
      <c r="A91" s="162"/>
      <c r="B91" s="38" t="s">
        <v>80</v>
      </c>
      <c r="C91">
        <f>C43/C80</f>
        <v>132.15464452234843</v>
      </c>
      <c r="D91">
        <f>D43/D80</f>
        <v>132.27221504182194</v>
      </c>
      <c r="E91">
        <f>E43/E80</f>
        <v>131.93227153099551</v>
      </c>
      <c r="F91" s="1">
        <f t="shared" si="2"/>
        <v>132.11971036505531</v>
      </c>
      <c r="G91" s="2">
        <f t="shared" si="3"/>
        <v>0.14096262896618195</v>
      </c>
    </row>
    <row r="92" spans="1:7" ht="15.75" thickBot="1" x14ac:dyDescent="0.3">
      <c r="A92" s="163"/>
      <c r="B92" s="39" t="s">
        <v>80</v>
      </c>
      <c r="C92">
        <f>C44/C80</f>
        <v>75.217774863447076</v>
      </c>
      <c r="D92">
        <f>D44/D80</f>
        <v>63.616040078549247</v>
      </c>
      <c r="E92">
        <f>E44/E80</f>
        <v>65.430116436046333</v>
      </c>
      <c r="F92" s="1">
        <f t="shared" si="2"/>
        <v>68.087977126014209</v>
      </c>
      <c r="G92" s="2">
        <f t="shared" si="3"/>
        <v>5.0956340848635318</v>
      </c>
    </row>
    <row r="93" spans="1:7" ht="15.75" thickTop="1" x14ac:dyDescent="0.25">
      <c r="A93" s="161" t="s">
        <v>91</v>
      </c>
      <c r="B93" s="40" t="s">
        <v>73</v>
      </c>
      <c r="C93">
        <f>C45/C80</f>
        <v>164.45789870217729</v>
      </c>
      <c r="D93">
        <f>D45/D80</f>
        <v>156.97208832342463</v>
      </c>
      <c r="E93">
        <f>E45/E80</f>
        <v>165.84068690025762</v>
      </c>
      <c r="F93" s="1">
        <f t="shared" si="2"/>
        <v>162.42355797528651</v>
      </c>
      <c r="G93" s="2">
        <f t="shared" si="3"/>
        <v>3.8958881592490924</v>
      </c>
    </row>
    <row r="94" spans="1:7" x14ac:dyDescent="0.25">
      <c r="A94" s="162"/>
      <c r="B94" s="38" t="s">
        <v>74</v>
      </c>
      <c r="C94">
        <f>C46/C80</f>
        <v>158.51180184636723</v>
      </c>
      <c r="D94">
        <f>D46/D80</f>
        <v>158.67269330414214</v>
      </c>
      <c r="E94">
        <f>E46/E80</f>
        <v>158.30169935153558</v>
      </c>
      <c r="F94" s="1">
        <f t="shared" si="2"/>
        <v>158.49539816734833</v>
      </c>
      <c r="G94" s="2">
        <f t="shared" si="3"/>
        <v>0.15190114928614568</v>
      </c>
    </row>
    <row r="95" spans="1:7" x14ac:dyDescent="0.25">
      <c r="A95" s="162"/>
      <c r="B95" s="38" t="s">
        <v>75</v>
      </c>
      <c r="C95">
        <f>C47/C80</f>
        <v>159.34602061310164</v>
      </c>
      <c r="D95">
        <f>D47/D80</f>
        <v>159.45522839498324</v>
      </c>
      <c r="E95">
        <f>E47/E80</f>
        <v>159.17498621722396</v>
      </c>
      <c r="F95" s="1">
        <f t="shared" si="2"/>
        <v>159.32541174176961</v>
      </c>
      <c r="G95" s="2">
        <f t="shared" si="3"/>
        <v>0.11533274681546626</v>
      </c>
    </row>
    <row r="96" spans="1:7" x14ac:dyDescent="0.25">
      <c r="A96" s="162"/>
      <c r="B96" s="38" t="s">
        <v>76</v>
      </c>
      <c r="C96">
        <f>C48/C80</f>
        <v>159.95704687017849</v>
      </c>
      <c r="D96">
        <f>D48/D80</f>
        <v>160.00643720455321</v>
      </c>
      <c r="E96">
        <f>E48/E80</f>
        <v>159.78744494818309</v>
      </c>
      <c r="F96" s="1">
        <f t="shared" si="2"/>
        <v>159.91697634097159</v>
      </c>
      <c r="G96" s="2">
        <f t="shared" si="3"/>
        <v>9.3785704563502034E-2</v>
      </c>
    </row>
    <row r="97" spans="1:7" x14ac:dyDescent="0.25">
      <c r="A97" s="162"/>
      <c r="B97" s="38" t="s">
        <v>77</v>
      </c>
      <c r="C97">
        <f>C49/C80</f>
        <v>160.45831683086951</v>
      </c>
      <c r="D97">
        <f>D49/D80</f>
        <v>160.4633373926647</v>
      </c>
      <c r="E97">
        <f>E49/E80</f>
        <v>160.27925912887568</v>
      </c>
      <c r="F97" s="1">
        <f t="shared" si="2"/>
        <v>160.4003044508033</v>
      </c>
      <c r="G97" s="2">
        <f t="shared" si="3"/>
        <v>8.5616505342544114E-2</v>
      </c>
    </row>
    <row r="98" spans="1:7" x14ac:dyDescent="0.25">
      <c r="A98" s="162"/>
      <c r="B98" s="38" t="s">
        <v>78</v>
      </c>
      <c r="C98">
        <f>C50/C80</f>
        <v>160.87923404178611</v>
      </c>
      <c r="D98">
        <f>D50/D80</f>
        <v>160.89133139449282</v>
      </c>
      <c r="E98">
        <f>E50/E80</f>
        <v>160.7008366528284</v>
      </c>
      <c r="F98" s="1">
        <f t="shared" si="2"/>
        <v>160.82380069636912</v>
      </c>
      <c r="G98" s="2">
        <f t="shared" si="3"/>
        <v>8.7088856878243748E-2</v>
      </c>
    </row>
    <row r="99" spans="1:7" x14ac:dyDescent="0.25">
      <c r="A99" s="162"/>
      <c r="B99" s="38" t="s">
        <v>79</v>
      </c>
      <c r="C99">
        <f>C51/C80</f>
        <v>161.81661077036946</v>
      </c>
      <c r="D99">
        <f>D51/D80</f>
        <v>161.7886902208509</v>
      </c>
      <c r="E99">
        <f>E51/E80</f>
        <v>161.60780046980369</v>
      </c>
      <c r="F99" s="1">
        <f t="shared" si="2"/>
        <v>161.73770048700803</v>
      </c>
      <c r="G99" s="2">
        <f t="shared" si="3"/>
        <v>9.2557730178225397E-2</v>
      </c>
    </row>
    <row r="100" spans="1:7" x14ac:dyDescent="0.25">
      <c r="A100" s="162"/>
      <c r="B100" s="38" t="s">
        <v>82</v>
      </c>
      <c r="C100">
        <f>C52/C80</f>
        <v>154.58485964555095</v>
      </c>
      <c r="D100">
        <f>D52/D80</f>
        <v>154.60198030760884</v>
      </c>
      <c r="E100">
        <f>E52/E80</f>
        <v>154.3348614639396</v>
      </c>
      <c r="F100" s="1">
        <f t="shared" si="2"/>
        <v>154.5072338056998</v>
      </c>
      <c r="G100" s="2">
        <f t="shared" si="3"/>
        <v>0.1220858916780726</v>
      </c>
    </row>
    <row r="101" spans="1:7" x14ac:dyDescent="0.25">
      <c r="A101" s="162"/>
      <c r="B101" s="38" t="s">
        <v>83</v>
      </c>
      <c r="C101">
        <f>C53/C80</f>
        <v>148.09558916314347</v>
      </c>
      <c r="D101">
        <f>D53/D80</f>
        <v>148.14132669435375</v>
      </c>
      <c r="E101">
        <f>E53/E80</f>
        <v>147.9361743163056</v>
      </c>
      <c r="F101" s="1">
        <f t="shared" si="2"/>
        <v>148.05769672460096</v>
      </c>
      <c r="G101" s="2">
        <f t="shared" si="3"/>
        <v>8.7934643263156684E-2</v>
      </c>
    </row>
    <row r="102" spans="1:7" x14ac:dyDescent="0.25">
      <c r="A102" s="162"/>
      <c r="B102" s="38" t="s">
        <v>84</v>
      </c>
      <c r="C102">
        <f>C54/C80</f>
        <v>137.25511569751473</v>
      </c>
      <c r="D102">
        <f>D54/D80</f>
        <v>136.85423200521964</v>
      </c>
      <c r="E102">
        <f>E54/E80</f>
        <v>137.46098403999463</v>
      </c>
      <c r="F102" s="1">
        <f t="shared" si="2"/>
        <v>137.19011058090965</v>
      </c>
      <c r="G102" s="2">
        <f t="shared" si="3"/>
        <v>0.25193419354337243</v>
      </c>
    </row>
    <row r="103" spans="1:7" x14ac:dyDescent="0.25">
      <c r="A103" s="162"/>
      <c r="B103" s="38" t="s">
        <v>85</v>
      </c>
      <c r="C103">
        <f>C55/C80</f>
        <v>75.050945889415203</v>
      </c>
      <c r="D103">
        <f>D55/D80</f>
        <v>63.502095467636025</v>
      </c>
      <c r="E103">
        <f>E55/E80</f>
        <v>65.306370430804904</v>
      </c>
      <c r="F103" s="1">
        <f t="shared" si="2"/>
        <v>67.953137262618711</v>
      </c>
      <c r="G103" s="2">
        <f t="shared" si="3"/>
        <v>5.0726730305727079</v>
      </c>
    </row>
    <row r="104" spans="1:7" ht="15.75" thickBot="1" x14ac:dyDescent="0.3">
      <c r="A104" s="163"/>
      <c r="B104" s="39" t="s">
        <v>86</v>
      </c>
      <c r="C104">
        <f>C56/C80</f>
        <v>16.672245029643463</v>
      </c>
      <c r="D104">
        <f>D56/D80</f>
        <v>14.567261174679938</v>
      </c>
      <c r="E104">
        <f>E56/E80</f>
        <v>16.34868461044034</v>
      </c>
      <c r="F104" s="1">
        <f t="shared" si="2"/>
        <v>15.862730271587914</v>
      </c>
      <c r="G104" s="2">
        <f t="shared" si="3"/>
        <v>0.92550993943929794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0.46380248314506117</v>
      </c>
      <c r="D106">
        <f>D55/D51</f>
        <v>0.39250021358694481</v>
      </c>
      <c r="E106">
        <f>E55/E51</f>
        <v>0.40410407320039826</v>
      </c>
      <c r="F106" s="1">
        <f t="shared" si="2"/>
        <v>0.42013558997746808</v>
      </c>
      <c r="G106" s="2">
        <f t="shared" si="3"/>
        <v>3.1238443822366003E-2</v>
      </c>
    </row>
    <row r="107" spans="1:7" ht="15.75" thickBot="1" x14ac:dyDescent="0.3">
      <c r="A107" s="36"/>
      <c r="B107" s="39" t="s">
        <v>94</v>
      </c>
      <c r="C107">
        <f>(1-C45/C33)*100</f>
        <v>8.7814357430034526</v>
      </c>
      <c r="D107">
        <f>(1-D45/D33)*100</f>
        <v>17.074248267404634</v>
      </c>
      <c r="E107">
        <f>(1-E45/E33)*100</f>
        <v>8.8280389398574517</v>
      </c>
      <c r="F107" s="1">
        <f t="shared" si="2"/>
        <v>11.561240983421847</v>
      </c>
      <c r="G107" s="2">
        <f t="shared" si="3"/>
        <v>3.8983312625981137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1.0660676799999999E-2</v>
      </c>
      <c r="D110">
        <f>D16*D21/10^4</f>
        <v>1.0660676799999999E-2</v>
      </c>
      <c r="E110">
        <f>E16*E21/10^4</f>
        <v>1.0660676799999999E-2</v>
      </c>
      <c r="F110" s="1">
        <f t="shared" si="2"/>
        <v>1.0660676799999999E-2</v>
      </c>
      <c r="G110" s="2">
        <f t="shared" si="3"/>
        <v>0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510.3490146141566</v>
      </c>
      <c r="D111">
        <f>D33/D110</f>
        <v>536.44583522126857</v>
      </c>
      <c r="E111">
        <f>E33/E110</f>
        <v>516.47893687200053</v>
      </c>
      <c r="F111" s="1">
        <f t="shared" si="2"/>
        <v>521.09126223580859</v>
      </c>
      <c r="G111" s="2">
        <f t="shared" si="3"/>
        <v>11.141997738172632</v>
      </c>
    </row>
    <row r="112" spans="1:7" x14ac:dyDescent="0.25">
      <c r="A112" s="162"/>
      <c r="B112" s="38" t="s">
        <v>74</v>
      </c>
      <c r="C112">
        <f>C34/C110</f>
        <v>472.77870669524475</v>
      </c>
      <c r="D112">
        <f>D34/D110</f>
        <v>473.50160920364829</v>
      </c>
      <c r="E112">
        <f>E34/E110</f>
        <v>473.69122755883564</v>
      </c>
      <c r="F112" s="1">
        <f t="shared" si="2"/>
        <v>473.32384781924293</v>
      </c>
      <c r="G112" s="2">
        <f t="shared" si="3"/>
        <v>0.39316910183910747</v>
      </c>
    </row>
    <row r="113" spans="1:7" x14ac:dyDescent="0.25">
      <c r="A113" s="162"/>
      <c r="B113" s="38" t="s">
        <v>75</v>
      </c>
      <c r="C113">
        <f>C35/C110</f>
        <v>450.08298816450377</v>
      </c>
      <c r="D113">
        <f>D35/D110</f>
        <v>450.73570657352639</v>
      </c>
      <c r="E113">
        <f>E35/E110</f>
        <v>450.65830998647294</v>
      </c>
      <c r="F113" s="1">
        <f t="shared" si="2"/>
        <v>450.49233490816772</v>
      </c>
      <c r="G113" s="2">
        <f t="shared" si="3"/>
        <v>0.29117134169085129</v>
      </c>
    </row>
    <row r="114" spans="1:7" x14ac:dyDescent="0.25">
      <c r="A114" s="162"/>
      <c r="B114" s="38" t="s">
        <v>76</v>
      </c>
      <c r="C114">
        <f>C36/C110</f>
        <v>452.26521922135373</v>
      </c>
      <c r="D114">
        <f>D36/D110</f>
        <v>452.98078542255411</v>
      </c>
      <c r="E114">
        <f>E36/E110</f>
        <v>453.00419575612682</v>
      </c>
      <c r="F114" s="1">
        <f t="shared" si="2"/>
        <v>452.75006680001155</v>
      </c>
      <c r="G114" s="2">
        <f t="shared" si="3"/>
        <v>0.34297219695602149</v>
      </c>
    </row>
    <row r="115" spans="1:7" x14ac:dyDescent="0.25">
      <c r="A115" s="162"/>
      <c r="B115" s="38" t="s">
        <v>77</v>
      </c>
      <c r="C115">
        <f>C37/C110</f>
        <v>453.90140051896145</v>
      </c>
      <c r="D115">
        <f>D37/D110</f>
        <v>454.4683579564105</v>
      </c>
      <c r="E115">
        <f>E37/E110</f>
        <v>454.69051927359817</v>
      </c>
      <c r="F115" s="1">
        <f t="shared" si="2"/>
        <v>454.35342591632343</v>
      </c>
      <c r="G115" s="2">
        <f t="shared" si="3"/>
        <v>0.33224903572349929</v>
      </c>
    </row>
    <row r="116" spans="1:7" x14ac:dyDescent="0.25">
      <c r="A116" s="162"/>
      <c r="B116" s="38" t="s">
        <v>78</v>
      </c>
      <c r="C116">
        <f>C38/C110</f>
        <v>455.26191639164972</v>
      </c>
      <c r="D116">
        <f>D38/D110</f>
        <v>455.73799123147609</v>
      </c>
      <c r="E116">
        <f>E38/E110</f>
        <v>456.04523720295134</v>
      </c>
      <c r="F116" s="1">
        <f t="shared" si="2"/>
        <v>455.68171494202574</v>
      </c>
      <c r="G116" s="2">
        <f t="shared" si="3"/>
        <v>0.3222557358375322</v>
      </c>
    </row>
    <row r="117" spans="1:7" x14ac:dyDescent="0.25">
      <c r="A117" s="162"/>
      <c r="B117" s="38" t="s">
        <v>79</v>
      </c>
      <c r="C117">
        <f>C39/C110</f>
        <v>458.1636195930825</v>
      </c>
      <c r="D117">
        <f>D39/D110</f>
        <v>458.64567998159373</v>
      </c>
      <c r="E117">
        <f>E39/E110</f>
        <v>458.91855571496177</v>
      </c>
      <c r="F117" s="1">
        <f t="shared" si="2"/>
        <v>458.57595176321269</v>
      </c>
      <c r="G117" s="2">
        <f t="shared" si="3"/>
        <v>0.31212033508298825</v>
      </c>
    </row>
    <row r="118" spans="1:7" x14ac:dyDescent="0.25">
      <c r="A118" s="162"/>
      <c r="B118" s="38" t="s">
        <v>80</v>
      </c>
      <c r="C118">
        <f>C40/C110</f>
        <v>457.5701675901102</v>
      </c>
      <c r="D118">
        <f>D40/D110</f>
        <v>458.00190847170234</v>
      </c>
      <c r="E118">
        <f>E40/E110</f>
        <v>458.37177054274832</v>
      </c>
      <c r="F118" s="1">
        <f t="shared" si="2"/>
        <v>457.98128220152029</v>
      </c>
      <c r="G118" s="2">
        <f t="shared" si="3"/>
        <v>0.32757788456666337</v>
      </c>
    </row>
    <row r="119" spans="1:7" x14ac:dyDescent="0.25">
      <c r="A119" s="162"/>
      <c r="B119" s="38" t="s">
        <v>80</v>
      </c>
      <c r="C119">
        <f>C41/C110</f>
        <v>438.53884492586809</v>
      </c>
      <c r="D119">
        <f>D41/D110</f>
        <v>439.05035841626869</v>
      </c>
      <c r="E119">
        <f>E41/E110</f>
        <v>439.06952605485611</v>
      </c>
      <c r="F119" s="1">
        <f t="shared" si="2"/>
        <v>438.88624313233095</v>
      </c>
      <c r="G119" s="2">
        <f t="shared" si="3"/>
        <v>0.24577223193093653</v>
      </c>
    </row>
    <row r="120" spans="1:7" x14ac:dyDescent="0.25">
      <c r="A120" s="162"/>
      <c r="B120" s="38" t="s">
        <v>80</v>
      </c>
      <c r="C120">
        <f>C42/C110</f>
        <v>419.9799622478003</v>
      </c>
      <c r="D120">
        <f>D42/D110</f>
        <v>420.58500638533576</v>
      </c>
      <c r="E120">
        <f>E42/E110</f>
        <v>420.73434211981737</v>
      </c>
      <c r="F120" s="1">
        <f t="shared" si="2"/>
        <v>420.43310358431773</v>
      </c>
      <c r="G120" s="2">
        <f t="shared" si="3"/>
        <v>0.32616774165445012</v>
      </c>
    </row>
    <row r="121" spans="1:7" x14ac:dyDescent="0.25">
      <c r="A121" s="162"/>
      <c r="B121" s="38" t="s">
        <v>80</v>
      </c>
      <c r="C121">
        <f>C43/C110</f>
        <v>374.09181563406935</v>
      </c>
      <c r="D121">
        <f>D43/D110</f>
        <v>374.85342675429388</v>
      </c>
      <c r="E121">
        <f>E43/E110</f>
        <v>374.6052530173319</v>
      </c>
      <c r="F121" s="1">
        <f t="shared" si="2"/>
        <v>374.51683180189838</v>
      </c>
      <c r="G121" s="2">
        <f t="shared" si="3"/>
        <v>0.3171504460204676</v>
      </c>
    </row>
    <row r="122" spans="1:7" ht="15.75" thickBot="1" x14ac:dyDescent="0.3">
      <c r="A122" s="163"/>
      <c r="B122" s="39" t="s">
        <v>80</v>
      </c>
      <c r="C122">
        <f>C44/C110</f>
        <v>212.91990204599392</v>
      </c>
      <c r="D122">
        <f>D44/D110</f>
        <v>180.28495714268348</v>
      </c>
      <c r="E122">
        <f>E44/E110</f>
        <v>185.78066638320749</v>
      </c>
      <c r="F122" s="1">
        <f t="shared" si="2"/>
        <v>192.99517519062829</v>
      </c>
      <c r="G122" s="2">
        <f t="shared" si="3"/>
        <v>14.266435205516276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465.53304383076318</v>
      </c>
      <c r="D123">
        <f>D45/D110</f>
        <v>444.85174149543678</v>
      </c>
      <c r="E123">
        <f>E45/E110</f>
        <v>470.88397520877857</v>
      </c>
      <c r="F123" s="1">
        <f t="shared" si="2"/>
        <v>460.42292017832619</v>
      </c>
      <c r="G123" s="2">
        <f t="shared" si="3"/>
        <v>11.225100469748119</v>
      </c>
    </row>
    <row r="124" spans="1:7" x14ac:dyDescent="0.25">
      <c r="A124" s="162"/>
      <c r="B124" s="38" t="s">
        <v>74</v>
      </c>
      <c r="C124">
        <f>C46/C110</f>
        <v>448.70135261956352</v>
      </c>
      <c r="D124">
        <f>D46/D110</f>
        <v>449.67117847527282</v>
      </c>
      <c r="E124">
        <f>E46/E110</f>
        <v>449.47795903539634</v>
      </c>
      <c r="F124" s="1">
        <f t="shared" si="2"/>
        <v>449.28349671007754</v>
      </c>
      <c r="G124" s="2">
        <f t="shared" si="3"/>
        <v>0.41912786002750968</v>
      </c>
    </row>
    <row r="125" spans="1:7" x14ac:dyDescent="0.25">
      <c r="A125" s="162"/>
      <c r="B125" s="38" t="s">
        <v>75</v>
      </c>
      <c r="C125">
        <f>C47/C110</f>
        <v>451.06278618258079</v>
      </c>
      <c r="D125">
        <f>D47/D110</f>
        <v>451.88884724467027</v>
      </c>
      <c r="E125">
        <f>E47/E110</f>
        <v>451.95754832376127</v>
      </c>
      <c r="F125" s="1">
        <f t="shared" si="2"/>
        <v>451.63639391700411</v>
      </c>
      <c r="G125" s="2">
        <f t="shared" si="3"/>
        <v>0.40657048122866057</v>
      </c>
    </row>
    <row r="126" spans="1:7" x14ac:dyDescent="0.25">
      <c r="A126" s="162"/>
      <c r="B126" s="38" t="s">
        <v>76</v>
      </c>
      <c r="C126">
        <f>C48/C110</f>
        <v>452.79242589926372</v>
      </c>
      <c r="D126">
        <f>D48/D110</f>
        <v>453.45094787978195</v>
      </c>
      <c r="E126">
        <f>E48/E110</f>
        <v>453.69654860937158</v>
      </c>
      <c r="F126" s="1">
        <f t="shared" si="2"/>
        <v>453.31330746280577</v>
      </c>
      <c r="G126" s="2">
        <f t="shared" si="3"/>
        <v>0.38172252751811808</v>
      </c>
    </row>
    <row r="127" spans="1:7" x14ac:dyDescent="0.25">
      <c r="A127" s="162"/>
      <c r="B127" s="38" t="s">
        <v>77</v>
      </c>
      <c r="C127">
        <f>C49/C110</f>
        <v>454.21137708630289</v>
      </c>
      <c r="D127">
        <f>D49/D110</f>
        <v>454.74578218148406</v>
      </c>
      <c r="E127">
        <f>E49/E110</f>
        <v>455.09299372062384</v>
      </c>
      <c r="F127" s="1">
        <f t="shared" si="2"/>
        <v>454.68338432947024</v>
      </c>
      <c r="G127" s="2">
        <f t="shared" si="3"/>
        <v>0.36261282513612347</v>
      </c>
    </row>
    <row r="128" spans="1:7" x14ac:dyDescent="0.25">
      <c r="A128" s="162"/>
      <c r="B128" s="38" t="s">
        <v>78</v>
      </c>
      <c r="C128">
        <f>C50/C110</f>
        <v>455.40287273318336</v>
      </c>
      <c r="D128">
        <f>D50/D110</f>
        <v>455.9586976691761</v>
      </c>
      <c r="E128">
        <f>E50/E110</f>
        <v>456.29001059294853</v>
      </c>
      <c r="F128" s="1">
        <f t="shared" si="2"/>
        <v>455.88386033176931</v>
      </c>
      <c r="G128" s="2">
        <f t="shared" si="3"/>
        <v>0.36601809232129984</v>
      </c>
    </row>
    <row r="129" spans="1:7" x14ac:dyDescent="0.25">
      <c r="A129" s="162"/>
      <c r="B129" s="38" t="s">
        <v>79</v>
      </c>
      <c r="C129">
        <f>C51/C110</f>
        <v>458.05631683721992</v>
      </c>
      <c r="D129">
        <f>D51/D110</f>
        <v>458.50177166988124</v>
      </c>
      <c r="E129">
        <f>E51/E110</f>
        <v>458.86522139007167</v>
      </c>
      <c r="F129" s="1">
        <f t="shared" si="2"/>
        <v>458.47443663239096</v>
      </c>
      <c r="G129" s="2">
        <f t="shared" si="3"/>
        <v>0.33079908011965659</v>
      </c>
    </row>
    <row r="130" spans="1:7" x14ac:dyDescent="0.25">
      <c r="A130" s="162"/>
      <c r="B130" s="38" t="s">
        <v>82</v>
      </c>
      <c r="C130">
        <f>C52/C110</f>
        <v>437.58530790465392</v>
      </c>
      <c r="D130">
        <f>D52/D110</f>
        <v>438.13496343871901</v>
      </c>
      <c r="E130">
        <f>E52/E110</f>
        <v>438.21461691813039</v>
      </c>
      <c r="F130" s="1">
        <f t="shared" si="2"/>
        <v>437.97829608716779</v>
      </c>
      <c r="G130" s="2">
        <f t="shared" si="3"/>
        <v>0.27978081050737147</v>
      </c>
    </row>
    <row r="131" spans="1:7" x14ac:dyDescent="0.25">
      <c r="A131" s="162"/>
      <c r="B131" s="38" t="s">
        <v>83</v>
      </c>
      <c r="C131">
        <f>C53/C110</f>
        <v>419.21604827190708</v>
      </c>
      <c r="D131">
        <f>D53/D110</f>
        <v>419.82576565870562</v>
      </c>
      <c r="E131">
        <f>E53/E110</f>
        <v>420.04634171068767</v>
      </c>
      <c r="F131" s="1">
        <f t="shared" si="2"/>
        <v>419.69605188043352</v>
      </c>
      <c r="G131" s="2">
        <f t="shared" si="3"/>
        <v>0.35115623002281332</v>
      </c>
    </row>
    <row r="132" spans="1:7" x14ac:dyDescent="0.25">
      <c r="A132" s="162"/>
      <c r="B132" s="38" t="s">
        <v>84</v>
      </c>
      <c r="C132">
        <f>C54/C110</f>
        <v>388.52978358747356</v>
      </c>
      <c r="D132">
        <f>D54/D110</f>
        <v>387.83865392110937</v>
      </c>
      <c r="E132">
        <f>E54/E110</f>
        <v>390.30334359259444</v>
      </c>
      <c r="F132" s="1">
        <f t="shared" si="2"/>
        <v>388.89059370039246</v>
      </c>
      <c r="G132" s="2">
        <f t="shared" si="3"/>
        <v>1.0380468028529071</v>
      </c>
    </row>
    <row r="133" spans="1:7" x14ac:dyDescent="0.25">
      <c r="A133" s="162"/>
      <c r="B133" s="38" t="s">
        <v>85</v>
      </c>
      <c r="C133">
        <f>C55/C110</f>
        <v>212.44765716938349</v>
      </c>
      <c r="D133">
        <f>D55/D110</f>
        <v>179.962043310421</v>
      </c>
      <c r="E133">
        <f>E55/E110</f>
        <v>185.42930501373047</v>
      </c>
      <c r="F133" s="1">
        <f t="shared" si="2"/>
        <v>192.61300183117831</v>
      </c>
      <c r="G133" s="2">
        <f t="shared" si="3"/>
        <v>14.201711209619816</v>
      </c>
    </row>
    <row r="134" spans="1:7" ht="15.75" thickBot="1" x14ac:dyDescent="0.3">
      <c r="A134" s="163"/>
      <c r="B134" s="39" t="s">
        <v>86</v>
      </c>
      <c r="C134">
        <f>C56/C110</f>
        <v>47.194333853175259</v>
      </c>
      <c r="D134">
        <f>D56/D110</f>
        <v>41.282954005321692</v>
      </c>
      <c r="E134">
        <f>E56/E110</f>
        <v>46.420053743679766</v>
      </c>
      <c r="F134" s="1">
        <f t="shared" si="2"/>
        <v>44.965780534058901</v>
      </c>
      <c r="G134" s="2">
        <f t="shared" si="3"/>
        <v>2.6232658846773473</v>
      </c>
    </row>
    <row r="137" spans="1:7" ht="14.45" customHeight="1" x14ac:dyDescent="0.25">
      <c r="A137" s="171" t="s">
        <v>98</v>
      </c>
      <c r="B137" s="67" t="s">
        <v>99</v>
      </c>
      <c r="C137" s="68" t="str">
        <f>C1</f>
        <v>DD044</v>
      </c>
      <c r="D137" s="68" t="str">
        <f>D1</f>
        <v>DD045</v>
      </c>
      <c r="E137" s="68" t="str">
        <f>E1</f>
        <v>DD046</v>
      </c>
    </row>
    <row r="138" spans="1:7" ht="14.45" customHeight="1" x14ac:dyDescent="0.25">
      <c r="A138" s="172"/>
      <c r="B138" s="69" t="s">
        <v>100</v>
      </c>
      <c r="C138" s="68">
        <f>C25</f>
        <v>3.0177312000000001E-2</v>
      </c>
      <c r="D138" s="68">
        <f>D25</f>
        <v>3.0211872000000004E-2</v>
      </c>
      <c r="E138" s="68">
        <f>E25</f>
        <v>3.0269664000000002E-2</v>
      </c>
      <c r="F138" s="1">
        <f t="shared" si="2"/>
        <v>3.0219616000000005E-2</v>
      </c>
      <c r="G138" s="2">
        <f t="shared" si="3"/>
        <v>3.809812005860655E-5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62</v>
      </c>
      <c r="D142" s="68">
        <f>D21</f>
        <v>62</v>
      </c>
      <c r="E142" s="68">
        <f>E21</f>
        <v>62</v>
      </c>
      <c r="F142" s="1">
        <f t="shared" ref="F142:F151" si="4">AVERAGE(C142:E142)</f>
        <v>62</v>
      </c>
      <c r="G142" s="2">
        <f t="shared" ref="G142:G151" si="5">_xlfn.STDEV.P(C142:E142)</f>
        <v>0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>D16</f>
        <v>1.7194640000000001</v>
      </c>
      <c r="E143" s="68">
        <f>E16</f>
        <v>1.7194640000000001</v>
      </c>
      <c r="F143" s="1">
        <f t="shared" si="4"/>
        <v>1.7194640000000001</v>
      </c>
      <c r="G143" s="2">
        <f t="shared" si="5"/>
        <v>0</v>
      </c>
    </row>
    <row r="144" spans="1:7" ht="14.45" customHeight="1" x14ac:dyDescent="0.25">
      <c r="A144" s="172"/>
      <c r="B144" s="69" t="s">
        <v>106</v>
      </c>
      <c r="C144" s="68">
        <f>C22</f>
        <v>182.81685455467519</v>
      </c>
      <c r="D144" s="68">
        <f>D22</f>
        <v>183.02622212503434</v>
      </c>
      <c r="E144" s="68">
        <f>E22</f>
        <v>183.37633122880155</v>
      </c>
      <c r="F144" s="1">
        <f t="shared" si="4"/>
        <v>183.07313596950368</v>
      </c>
      <c r="G144" s="2">
        <f t="shared" si="5"/>
        <v>0.23080181805327254</v>
      </c>
    </row>
    <row r="145" spans="1:7" ht="14.45" customHeight="1" x14ac:dyDescent="0.25">
      <c r="A145" s="172"/>
      <c r="B145" s="69" t="s">
        <v>107</v>
      </c>
      <c r="C145" s="68">
        <f>C24</f>
        <v>33.856910174287925</v>
      </c>
      <c r="D145" s="68">
        <f>D24</f>
        <v>33.781161042477351</v>
      </c>
      <c r="E145" s="68">
        <f>E24</f>
        <v>33.654491660949681</v>
      </c>
      <c r="F145" s="1">
        <f t="shared" si="4"/>
        <v>33.764187625904981</v>
      </c>
      <c r="G145" s="2">
        <f t="shared" si="5"/>
        <v>8.3504036980737426E-2</v>
      </c>
    </row>
    <row r="146" spans="1:7" ht="14.45" customHeight="1" thickBot="1" x14ac:dyDescent="0.3">
      <c r="A146" s="173"/>
      <c r="B146" s="70" t="s">
        <v>108</v>
      </c>
      <c r="C146" s="68">
        <v>145</v>
      </c>
      <c r="D146" s="68">
        <v>145</v>
      </c>
      <c r="E146" s="68">
        <v>145</v>
      </c>
      <c r="F146" s="1">
        <f t="shared" si="4"/>
        <v>145</v>
      </c>
      <c r="G146" s="2">
        <f t="shared" si="5"/>
        <v>0</v>
      </c>
    </row>
    <row r="148" spans="1:7" x14ac:dyDescent="0.25">
      <c r="A148" s="168" t="s">
        <v>109</v>
      </c>
      <c r="B148" s="94" t="s">
        <v>110</v>
      </c>
      <c r="C148">
        <v>5.05</v>
      </c>
      <c r="D148">
        <v>5.0599999999999996</v>
      </c>
      <c r="E148">
        <v>5.0599999999999996</v>
      </c>
      <c r="F148" s="1">
        <f t="shared" si="4"/>
        <v>5.0566666666666658</v>
      </c>
      <c r="G148" s="2">
        <f t="shared" si="5"/>
        <v>4.714045207910216E-3</v>
      </c>
    </row>
    <row r="149" spans="1:7" x14ac:dyDescent="0.25">
      <c r="A149" s="169"/>
      <c r="B149" s="95" t="s">
        <v>111</v>
      </c>
      <c r="C149">
        <v>4.7</v>
      </c>
      <c r="D149">
        <v>4.7</v>
      </c>
      <c r="E149">
        <v>4.71</v>
      </c>
      <c r="F149" s="1">
        <f t="shared" si="4"/>
        <v>4.7033333333333331</v>
      </c>
      <c r="G149" s="2">
        <f t="shared" si="5"/>
        <v>4.714045207910216E-3</v>
      </c>
    </row>
    <row r="150" spans="1:7" x14ac:dyDescent="0.25">
      <c r="A150" s="169"/>
      <c r="B150" s="95" t="s">
        <v>112</v>
      </c>
      <c r="C150">
        <v>4.5199999999999996</v>
      </c>
      <c r="D150">
        <v>4.2300000000000004</v>
      </c>
      <c r="E150">
        <v>4.33</v>
      </c>
      <c r="F150" s="1">
        <f t="shared" si="4"/>
        <v>4.3600000000000003</v>
      </c>
      <c r="G150" s="2">
        <f t="shared" si="5"/>
        <v>0.12027745701779108</v>
      </c>
    </row>
    <row r="151" spans="1:7" ht="15.75" thickBot="1" x14ac:dyDescent="0.3">
      <c r="A151" s="170"/>
      <c r="B151" s="96" t="s">
        <v>113</v>
      </c>
      <c r="C151">
        <v>4.93</v>
      </c>
      <c r="D151">
        <v>4.9000000000000004</v>
      </c>
      <c r="E151">
        <v>4.8899999999999997</v>
      </c>
      <c r="F151" s="1">
        <f t="shared" si="4"/>
        <v>4.9066666666666663</v>
      </c>
      <c r="G151" s="2">
        <f t="shared" si="5"/>
        <v>1.6996731711975879E-2</v>
      </c>
    </row>
  </sheetData>
  <sortState xmlns:xlrd2="http://schemas.microsoft.com/office/spreadsheetml/2017/richdata2" columnSort="1" ref="C1:G148">
    <sortCondition descending="1" ref="C24:G24"/>
  </sortState>
  <mergeCells count="11">
    <mergeCell ref="A81:A92"/>
    <mergeCell ref="A1:A30"/>
    <mergeCell ref="A33:A44"/>
    <mergeCell ref="A45:A56"/>
    <mergeCell ref="A57:A67"/>
    <mergeCell ref="A68:A78"/>
    <mergeCell ref="A148:A151"/>
    <mergeCell ref="A93:A104"/>
    <mergeCell ref="A111:A122"/>
    <mergeCell ref="A123:A134"/>
    <mergeCell ref="A137:A146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53"/>
  <sheetViews>
    <sheetView tabSelected="1" workbookViewId="0">
      <pane ySplit="1" topLeftCell="A144" activePane="bottomLeft" state="frozen"/>
      <selection pane="bottomLeft" activeCell="D164" sqref="D164"/>
    </sheetView>
  </sheetViews>
  <sheetFormatPr defaultRowHeight="15" x14ac:dyDescent="0.25"/>
  <cols>
    <col min="1" max="1" width="29.85546875" customWidth="1"/>
    <col min="2" max="2" width="43.140625" style="27" customWidth="1"/>
    <col min="3" max="5" width="15.28515625" bestFit="1" customWidth="1"/>
    <col min="6" max="6" width="12" style="1" bestFit="1" customWidth="1"/>
    <col min="7" max="7" width="16.28515625" style="2" bestFit="1" customWidth="1"/>
  </cols>
  <sheetData>
    <row r="1" spans="1:7" x14ac:dyDescent="0.25">
      <c r="A1" s="164" t="s">
        <v>24</v>
      </c>
      <c r="B1" s="16" t="s">
        <v>25</v>
      </c>
      <c r="C1" s="60" t="s">
        <v>251</v>
      </c>
      <c r="D1" s="3" t="s">
        <v>252</v>
      </c>
      <c r="E1" s="3" t="s">
        <v>253</v>
      </c>
      <c r="F1" s="60" t="s">
        <v>29</v>
      </c>
      <c r="G1" s="4" t="s">
        <v>30</v>
      </c>
    </row>
    <row r="2" spans="1:7" x14ac:dyDescent="0.25">
      <c r="A2" s="164"/>
      <c r="B2" s="18" t="s">
        <v>31</v>
      </c>
      <c r="C2" t="s">
        <v>32</v>
      </c>
      <c r="D2" t="s">
        <v>32</v>
      </c>
      <c r="E2" t="s">
        <v>32</v>
      </c>
    </row>
    <row r="3" spans="1:7" x14ac:dyDescent="0.25">
      <c r="A3" s="164"/>
      <c r="B3" s="17" t="s">
        <v>33</v>
      </c>
      <c r="C3">
        <v>80</v>
      </c>
      <c r="D3">
        <v>80</v>
      </c>
      <c r="E3">
        <v>80</v>
      </c>
    </row>
    <row r="4" spans="1:7" x14ac:dyDescent="0.25">
      <c r="A4" s="164"/>
      <c r="B4" s="17" t="s">
        <v>34</v>
      </c>
      <c r="C4" s="61" t="s">
        <v>35</v>
      </c>
      <c r="D4" s="8" t="s">
        <v>35</v>
      </c>
      <c r="E4" s="8" t="s">
        <v>35</v>
      </c>
    </row>
    <row r="5" spans="1:7" x14ac:dyDescent="0.25">
      <c r="A5" s="164"/>
      <c r="B5" s="18" t="s">
        <v>36</v>
      </c>
      <c r="C5" s="61">
        <v>0.9</v>
      </c>
      <c r="D5" s="61">
        <v>0.9</v>
      </c>
      <c r="E5" s="61" t="s">
        <v>148</v>
      </c>
    </row>
    <row r="6" spans="1:7" x14ac:dyDescent="0.25">
      <c r="A6" s="164"/>
      <c r="B6" s="17" t="s">
        <v>37</v>
      </c>
      <c r="C6" s="8" t="s">
        <v>38</v>
      </c>
      <c r="D6" s="8" t="s">
        <v>38</v>
      </c>
      <c r="E6" s="8" t="s">
        <v>38</v>
      </c>
    </row>
    <row r="7" spans="1:7" x14ac:dyDescent="0.25">
      <c r="A7" s="164"/>
      <c r="B7" s="18" t="s">
        <v>39</v>
      </c>
      <c r="C7">
        <v>12</v>
      </c>
      <c r="D7">
        <v>12</v>
      </c>
      <c r="E7">
        <v>12</v>
      </c>
    </row>
    <row r="8" spans="1:7" x14ac:dyDescent="0.25">
      <c r="A8" s="164"/>
      <c r="B8" s="19" t="s">
        <v>40</v>
      </c>
      <c r="C8" s="1" t="s">
        <v>254</v>
      </c>
      <c r="D8" t="s">
        <v>255</v>
      </c>
      <c r="E8" t="s">
        <v>256</v>
      </c>
    </row>
    <row r="9" spans="1:7" x14ac:dyDescent="0.25">
      <c r="A9" s="164"/>
      <c r="B9" s="20" t="s">
        <v>44</v>
      </c>
      <c r="C9" s="1" t="s">
        <v>45</v>
      </c>
      <c r="D9" t="s">
        <v>45</v>
      </c>
      <c r="E9" t="s">
        <v>45</v>
      </c>
    </row>
    <row r="10" spans="1:7" x14ac:dyDescent="0.25">
      <c r="A10" s="164"/>
      <c r="B10" s="20" t="s">
        <v>46</v>
      </c>
      <c r="C10" s="62">
        <v>96</v>
      </c>
      <c r="D10" s="9">
        <v>96</v>
      </c>
      <c r="E10" s="9">
        <v>96</v>
      </c>
    </row>
    <row r="11" spans="1:7" x14ac:dyDescent="0.25">
      <c r="A11" s="164"/>
      <c r="B11" s="20" t="s">
        <v>47</v>
      </c>
      <c r="C11">
        <v>165</v>
      </c>
      <c r="D11">
        <v>165</v>
      </c>
      <c r="E11">
        <v>165</v>
      </c>
    </row>
    <row r="12" spans="1:7" x14ac:dyDescent="0.25">
      <c r="A12" s="164"/>
      <c r="B12" s="21" t="s">
        <v>48</v>
      </c>
      <c r="C12" s="1">
        <v>3.6504599999999998E-2</v>
      </c>
      <c r="D12">
        <v>3.6563999999999999E-2</v>
      </c>
      <c r="E12">
        <v>3.65838E-2</v>
      </c>
      <c r="F12" s="1">
        <f t="shared" ref="F12:F25" si="0">AVERAGE(C12:E12)</f>
        <v>3.6550800000000001E-2</v>
      </c>
      <c r="G12" s="2">
        <f t="shared" ref="G12:G25" si="1">_xlfn.STDEV.P(C12:E12)</f>
        <v>3.3653528789713017E-5</v>
      </c>
    </row>
    <row r="13" spans="1:7" x14ac:dyDescent="0.25">
      <c r="A13" s="164"/>
      <c r="B13" s="21" t="s">
        <v>49</v>
      </c>
      <c r="C13" s="1">
        <v>70</v>
      </c>
      <c r="D13">
        <v>70</v>
      </c>
      <c r="E13">
        <v>70</v>
      </c>
      <c r="F13" s="1">
        <f t="shared" si="0"/>
        <v>70</v>
      </c>
      <c r="G13" s="2">
        <f t="shared" si="1"/>
        <v>0</v>
      </c>
    </row>
    <row r="14" spans="1:7" x14ac:dyDescent="0.25">
      <c r="A14" s="164"/>
      <c r="B14" s="20" t="s">
        <v>50</v>
      </c>
      <c r="C14" s="61">
        <v>5.5700000000000003E-3</v>
      </c>
      <c r="D14" s="8">
        <v>5.5700000000000003E-3</v>
      </c>
      <c r="E14" s="8">
        <v>5.5700000000000003E-3</v>
      </c>
      <c r="F14" s="1">
        <f t="shared" si="0"/>
        <v>5.5700000000000012E-3</v>
      </c>
      <c r="G14" s="2">
        <f t="shared" si="1"/>
        <v>8.6736173798840355E-19</v>
      </c>
    </row>
    <row r="15" spans="1:7" x14ac:dyDescent="0.25">
      <c r="A15" s="164"/>
      <c r="B15" s="20" t="s">
        <v>51</v>
      </c>
      <c r="C15" s="63">
        <v>13</v>
      </c>
      <c r="D15" s="10">
        <v>13</v>
      </c>
      <c r="E15" s="10">
        <v>13</v>
      </c>
      <c r="F15" s="1">
        <f t="shared" si="0"/>
        <v>13</v>
      </c>
      <c r="G15" s="2">
        <f t="shared" si="1"/>
        <v>0</v>
      </c>
    </row>
    <row r="16" spans="1:7" x14ac:dyDescent="0.25">
      <c r="A16" s="164"/>
      <c r="B16" s="20" t="s">
        <v>52</v>
      </c>
      <c r="C16" s="1">
        <v>1.7194640000000001</v>
      </c>
      <c r="D16">
        <v>1.7194640000000001</v>
      </c>
      <c r="E16">
        <v>1.7194640000000001</v>
      </c>
      <c r="F16" s="1">
        <f t="shared" si="0"/>
        <v>1.7194640000000001</v>
      </c>
      <c r="G16" s="2">
        <f t="shared" si="1"/>
        <v>0</v>
      </c>
    </row>
    <row r="17" spans="1:7" x14ac:dyDescent="0.25">
      <c r="A17" s="164"/>
      <c r="B17" s="20" t="s">
        <v>53</v>
      </c>
      <c r="C17" s="1">
        <v>4.4580000000000002</v>
      </c>
      <c r="D17">
        <v>4.4580000000000002</v>
      </c>
      <c r="E17">
        <v>4.4580000000000002</v>
      </c>
      <c r="F17" s="1">
        <f t="shared" si="0"/>
        <v>4.4580000000000002</v>
      </c>
      <c r="G17" s="2">
        <f t="shared" si="1"/>
        <v>0</v>
      </c>
    </row>
    <row r="18" spans="1:7" x14ac:dyDescent="0.25">
      <c r="A18" s="164"/>
      <c r="B18" s="22" t="s">
        <v>54</v>
      </c>
      <c r="C18" s="11">
        <f>C12-C14</f>
        <v>3.09346E-2</v>
      </c>
      <c r="D18" s="11">
        <f t="shared" ref="D18:E18" si="2">D12-D14</f>
        <v>3.0994000000000001E-2</v>
      </c>
      <c r="E18" s="11">
        <f t="shared" si="2"/>
        <v>3.1013800000000001E-2</v>
      </c>
      <c r="F18" s="1">
        <f t="shared" si="0"/>
        <v>3.0980800000000003E-2</v>
      </c>
      <c r="G18" s="2">
        <f t="shared" si="1"/>
        <v>3.3653528789713017E-5</v>
      </c>
    </row>
    <row r="19" spans="1:7" x14ac:dyDescent="0.25">
      <c r="A19" s="164"/>
      <c r="B19" s="23" t="s">
        <v>55</v>
      </c>
      <c r="C19" s="12">
        <f>C18*C10/100*C11</f>
        <v>4.9000406399999994</v>
      </c>
      <c r="D19" s="12">
        <f t="shared" ref="D19:E19" si="3">D18*D10/100*D11</f>
        <v>4.9094496000000003</v>
      </c>
      <c r="E19" s="12">
        <f t="shared" si="3"/>
        <v>4.9125859199999997</v>
      </c>
      <c r="F19" s="1">
        <f t="shared" si="0"/>
        <v>4.9073587199999995</v>
      </c>
      <c r="G19" s="2">
        <f t="shared" si="1"/>
        <v>5.3307189602906663E-3</v>
      </c>
    </row>
    <row r="20" spans="1:7" x14ac:dyDescent="0.25">
      <c r="A20" s="164"/>
      <c r="B20" s="23" t="s">
        <v>56</v>
      </c>
      <c r="C20" s="12">
        <f>C19/C16</f>
        <v>2.849748898493949</v>
      </c>
      <c r="D20" s="12">
        <f t="shared" ref="D20:E20" si="4">D19/D16</f>
        <v>2.8552209293128556</v>
      </c>
      <c r="E20" s="12">
        <f t="shared" si="4"/>
        <v>2.857044939585824</v>
      </c>
      <c r="F20" s="1">
        <f t="shared" si="0"/>
        <v>2.8540049224642097</v>
      </c>
      <c r="G20" s="2">
        <f t="shared" si="1"/>
        <v>3.1002213249538366E-3</v>
      </c>
    </row>
    <row r="21" spans="1:7" x14ac:dyDescent="0.25">
      <c r="A21" s="164"/>
      <c r="B21" s="22" t="s">
        <v>57</v>
      </c>
      <c r="C21" s="13">
        <f>C13-C15</f>
        <v>57</v>
      </c>
      <c r="D21" s="13">
        <f t="shared" ref="D21:E21" si="5">D13-D15</f>
        <v>57</v>
      </c>
      <c r="E21" s="13">
        <f t="shared" si="5"/>
        <v>57</v>
      </c>
      <c r="F21" s="1">
        <f t="shared" si="0"/>
        <v>57</v>
      </c>
      <c r="G21" s="2">
        <f t="shared" si="1"/>
        <v>0</v>
      </c>
    </row>
    <row r="22" spans="1:7" x14ac:dyDescent="0.25">
      <c r="A22" s="164"/>
      <c r="B22" s="22" t="s">
        <v>58</v>
      </c>
      <c r="C22" s="13">
        <f>C18/(C16/10^4)</f>
        <v>179.90839005643619</v>
      </c>
      <c r="D22" s="13">
        <f t="shared" ref="D22:E22" si="6">D18/(D16/10^4)</f>
        <v>180.25384654752878</v>
      </c>
      <c r="E22" s="13">
        <f t="shared" si="6"/>
        <v>180.36899871122631</v>
      </c>
      <c r="F22" s="1">
        <f t="shared" si="0"/>
        <v>180.17707843839707</v>
      </c>
      <c r="G22" s="2">
        <f t="shared" si="1"/>
        <v>0.19572104324204595</v>
      </c>
    </row>
    <row r="23" spans="1:7" x14ac:dyDescent="0.25">
      <c r="A23" s="164"/>
      <c r="B23" s="22" t="s">
        <v>59</v>
      </c>
      <c r="C23" s="13">
        <f>C18/C16/(C21/10^4)</f>
        <v>3.1562875448497576</v>
      </c>
      <c r="D23" s="13">
        <f t="shared" ref="D23:E23" si="7">D18/D16/(D21/10^4)</f>
        <v>3.162348185044364</v>
      </c>
      <c r="E23" s="13">
        <f t="shared" si="7"/>
        <v>3.1643683984425661</v>
      </c>
      <c r="F23" s="1">
        <f t="shared" si="0"/>
        <v>3.1610013761122295</v>
      </c>
      <c r="G23" s="2">
        <f t="shared" si="1"/>
        <v>3.4337025130180853E-3</v>
      </c>
    </row>
    <row r="24" spans="1:7" x14ac:dyDescent="0.25">
      <c r="A24" s="164"/>
      <c r="B24" s="22" t="s">
        <v>60</v>
      </c>
      <c r="C24" s="13">
        <f>(1-C23/C17)*100</f>
        <v>29.199471851732671</v>
      </c>
      <c r="D24" s="13">
        <f t="shared" ref="D24:E24" si="8">(1-D23/D17)*100</f>
        <v>29.063522094114759</v>
      </c>
      <c r="E24" s="13">
        <f t="shared" si="8"/>
        <v>29.018205508242122</v>
      </c>
      <c r="F24" s="1">
        <f t="shared" si="0"/>
        <v>29.093733151363182</v>
      </c>
      <c r="G24" s="2">
        <f t="shared" si="1"/>
        <v>7.7023385217993415E-2</v>
      </c>
    </row>
    <row r="25" spans="1:7" x14ac:dyDescent="0.25">
      <c r="A25" s="164"/>
      <c r="B25" s="24" t="s">
        <v>61</v>
      </c>
      <c r="C25" s="14">
        <f>(C18*C10)/100</f>
        <v>2.9697215999999999E-2</v>
      </c>
      <c r="D25" s="14">
        <f t="shared" ref="D25:E25" si="9">(D18*D10)/100</f>
        <v>2.9754240000000001E-2</v>
      </c>
      <c r="E25" s="14">
        <f t="shared" si="9"/>
        <v>2.9773247999999999E-2</v>
      </c>
      <c r="F25" s="1">
        <f t="shared" si="0"/>
        <v>2.9741567999999999E-2</v>
      </c>
      <c r="G25" s="2">
        <f t="shared" si="1"/>
        <v>3.2307387638124305E-5</v>
      </c>
    </row>
    <row r="26" spans="1:7" x14ac:dyDescent="0.25">
      <c r="A26" s="164"/>
      <c r="B26" s="25"/>
    </row>
    <row r="27" spans="1:7" ht="30" x14ac:dyDescent="0.25">
      <c r="A27" s="164"/>
      <c r="B27" s="26" t="s">
        <v>62</v>
      </c>
      <c r="C27" s="15" t="s">
        <v>63</v>
      </c>
      <c r="D27" s="15" t="s">
        <v>63</v>
      </c>
      <c r="E27" s="15" t="s">
        <v>63</v>
      </c>
    </row>
    <row r="28" spans="1:7" x14ac:dyDescent="0.25">
      <c r="A28" s="164"/>
      <c r="B28" s="18" t="s">
        <v>64</v>
      </c>
      <c r="C28" s="1" t="s">
        <v>141</v>
      </c>
      <c r="D28" t="s">
        <v>141</v>
      </c>
      <c r="E28" t="s">
        <v>141</v>
      </c>
    </row>
    <row r="29" spans="1:7" x14ac:dyDescent="0.25">
      <c r="A29" s="164"/>
      <c r="B29" s="18" t="s">
        <v>67</v>
      </c>
      <c r="C29" s="1" t="s">
        <v>257</v>
      </c>
      <c r="D29" t="s">
        <v>240</v>
      </c>
      <c r="E29" t="s">
        <v>258</v>
      </c>
    </row>
    <row r="30" spans="1:7" x14ac:dyDescent="0.25">
      <c r="A30" s="164"/>
      <c r="B30" s="25" t="s">
        <v>71</v>
      </c>
      <c r="C30" s="64">
        <v>3.2130000000000001</v>
      </c>
      <c r="D30" s="65">
        <v>3.2389999999999999</v>
      </c>
      <c r="E30" s="65">
        <v>3.1640000000000001</v>
      </c>
    </row>
    <row r="31" spans="1:7" x14ac:dyDescent="0.25">
      <c r="A31" s="46"/>
      <c r="C31" s="1"/>
    </row>
    <row r="32" spans="1:7" ht="15.75" thickBot="1" x14ac:dyDescent="0.3"/>
    <row r="33" spans="1:7" ht="15.75" thickTop="1" x14ac:dyDescent="0.25">
      <c r="A33" s="165" t="s">
        <v>72</v>
      </c>
      <c r="B33" s="28" t="s">
        <v>73</v>
      </c>
      <c r="C33" s="47">
        <v>5.4326194180789056</v>
      </c>
      <c r="D33" s="48">
        <v>5.4490877120991534</v>
      </c>
      <c r="E33" s="125">
        <v>5.4563277629359828</v>
      </c>
      <c r="F33" s="1">
        <f t="shared" ref="F33:F78" si="10">AVERAGE(C33:E33)</f>
        <v>5.4460116310380142</v>
      </c>
      <c r="G33" s="2">
        <f t="shared" ref="G33:G78" si="11">_xlfn.STDEV.P(C33:E33)</f>
        <v>9.920285949727806E-3</v>
      </c>
    </row>
    <row r="34" spans="1:7" x14ac:dyDescent="0.25">
      <c r="A34" s="166"/>
      <c r="B34" s="29" t="s">
        <v>74</v>
      </c>
      <c r="C34" s="49">
        <v>4.974711966467404</v>
      </c>
      <c r="D34" s="50">
        <v>5.0002375896444917</v>
      </c>
      <c r="E34" s="126">
        <v>4.9876240685865723</v>
      </c>
      <c r="F34" s="1">
        <f t="shared" si="10"/>
        <v>4.987524541566156</v>
      </c>
      <c r="G34" s="2">
        <f t="shared" si="11"/>
        <v>1.0421029663314284E-2</v>
      </c>
    </row>
    <row r="35" spans="1:7" x14ac:dyDescent="0.25">
      <c r="A35" s="166"/>
      <c r="B35" s="29" t="s">
        <v>75</v>
      </c>
      <c r="C35" s="49">
        <v>4.7422678142397734</v>
      </c>
      <c r="D35" s="50">
        <v>4.7677453234589864</v>
      </c>
      <c r="E35" s="126">
        <v>4.752710534545991</v>
      </c>
      <c r="F35" s="1">
        <f t="shared" si="10"/>
        <v>4.754241224081583</v>
      </c>
      <c r="G35" s="2">
        <f t="shared" si="11"/>
        <v>1.0457314086148832E-2</v>
      </c>
    </row>
    <row r="36" spans="1:7" x14ac:dyDescent="0.25">
      <c r="A36" s="166"/>
      <c r="B36" s="29" t="s">
        <v>76</v>
      </c>
      <c r="C36" s="49">
        <v>4.7595536221010653</v>
      </c>
      <c r="D36" s="50">
        <v>4.7854527966911684</v>
      </c>
      <c r="E36" s="126">
        <v>4.7704404512671523</v>
      </c>
      <c r="F36" s="1">
        <f t="shared" si="10"/>
        <v>4.7718156233531284</v>
      </c>
      <c r="G36" s="2">
        <f t="shared" si="11"/>
        <v>1.0617913630957125E-2</v>
      </c>
    </row>
    <row r="37" spans="1:7" x14ac:dyDescent="0.25">
      <c r="A37" s="166"/>
      <c r="B37" s="29" t="s">
        <v>77</v>
      </c>
      <c r="C37" s="49">
        <v>4.7739453511599867</v>
      </c>
      <c r="D37" s="50">
        <v>4.798639067140603</v>
      </c>
      <c r="E37" s="126">
        <v>4.7841420824828367</v>
      </c>
      <c r="F37" s="1">
        <f t="shared" si="10"/>
        <v>4.7855755002611424</v>
      </c>
      <c r="G37" s="2">
        <f t="shared" si="11"/>
        <v>1.0131992799319939E-2</v>
      </c>
    </row>
    <row r="38" spans="1:7" x14ac:dyDescent="0.25">
      <c r="A38" s="166"/>
      <c r="B38" s="29" t="s">
        <v>78</v>
      </c>
      <c r="C38" s="49">
        <v>4.7854123525953094</v>
      </c>
      <c r="D38" s="50">
        <v>4.8091488115872334</v>
      </c>
      <c r="E38" s="126">
        <v>4.7954495443781973</v>
      </c>
      <c r="F38" s="1">
        <f t="shared" si="10"/>
        <v>4.7966702361869133</v>
      </c>
      <c r="G38" s="2">
        <f t="shared" si="11"/>
        <v>9.72873536617932E-3</v>
      </c>
    </row>
    <row r="39" spans="1:7" x14ac:dyDescent="0.25">
      <c r="A39" s="166"/>
      <c r="B39" s="29" t="s">
        <v>79</v>
      </c>
      <c r="C39" s="49">
        <v>4.812460652663459</v>
      </c>
      <c r="D39" s="50">
        <v>4.8352121481139561</v>
      </c>
      <c r="E39" s="126">
        <v>4.8233275286151773</v>
      </c>
      <c r="F39" s="1">
        <f t="shared" si="10"/>
        <v>4.8236667764641972</v>
      </c>
      <c r="G39" s="2">
        <f t="shared" si="11"/>
        <v>9.2913563106002094E-3</v>
      </c>
    </row>
    <row r="40" spans="1:7" x14ac:dyDescent="0.25">
      <c r="A40" s="166"/>
      <c r="B40" s="29" t="s">
        <v>80</v>
      </c>
      <c r="C40" s="49">
        <v>4.8058328677223754</v>
      </c>
      <c r="D40" s="50">
        <v>4.8273770219570364</v>
      </c>
      <c r="E40" s="126">
        <v>4.8152836526765217</v>
      </c>
      <c r="F40" s="1">
        <f t="shared" si="10"/>
        <v>4.8161645141186442</v>
      </c>
      <c r="G40" s="2">
        <f t="shared" si="11"/>
        <v>8.8173912650654947E-3</v>
      </c>
    </row>
    <row r="41" spans="1:7" x14ac:dyDescent="0.25">
      <c r="A41" s="166"/>
      <c r="B41" s="29" t="s">
        <v>80</v>
      </c>
      <c r="C41" s="49">
        <v>4.6061806243812162</v>
      </c>
      <c r="D41" s="50">
        <v>4.6290320322508203</v>
      </c>
      <c r="E41" s="126">
        <v>4.6181399408507726</v>
      </c>
      <c r="F41" s="1">
        <f t="shared" si="10"/>
        <v>4.6177841991609361</v>
      </c>
      <c r="G41" s="2">
        <f t="shared" si="11"/>
        <v>9.3324389280318391E-3</v>
      </c>
    </row>
    <row r="42" spans="1:7" x14ac:dyDescent="0.25">
      <c r="A42" s="166"/>
      <c r="B42" s="29" t="s">
        <v>80</v>
      </c>
      <c r="C42" s="49">
        <v>4.4184987564360814</v>
      </c>
      <c r="D42" s="50">
        <v>4.4442358972601346</v>
      </c>
      <c r="E42" s="126">
        <v>4.4323976717862292</v>
      </c>
      <c r="F42" s="1">
        <f t="shared" si="10"/>
        <v>4.4317107751608154</v>
      </c>
      <c r="G42" s="2">
        <f t="shared" si="11"/>
        <v>1.051836408952744E-2</v>
      </c>
    </row>
    <row r="43" spans="1:7" x14ac:dyDescent="0.25">
      <c r="A43" s="166"/>
      <c r="B43" s="29" t="s">
        <v>80</v>
      </c>
      <c r="C43" s="49">
        <v>3.9312249431517272</v>
      </c>
      <c r="D43" s="50">
        <v>3.9517633722099039</v>
      </c>
      <c r="E43" s="126">
        <v>3.9509520618993399</v>
      </c>
      <c r="F43" s="1">
        <f t="shared" si="10"/>
        <v>3.9446467924203237</v>
      </c>
      <c r="G43" s="2">
        <f t="shared" si="11"/>
        <v>9.4964584432548488E-3</v>
      </c>
    </row>
    <row r="44" spans="1:7" ht="15.75" thickBot="1" x14ac:dyDescent="0.3">
      <c r="A44" s="167"/>
      <c r="B44" s="30" t="s">
        <v>80</v>
      </c>
      <c r="C44" s="51">
        <v>1.3559421583871829</v>
      </c>
      <c r="D44" s="52">
        <v>1.315253897336456</v>
      </c>
      <c r="E44" s="127">
        <v>1.4126779265777889</v>
      </c>
      <c r="F44" s="1">
        <f t="shared" si="10"/>
        <v>1.3612913274338094</v>
      </c>
      <c r="G44" s="2">
        <f t="shared" si="11"/>
        <v>3.9952643429616019E-2</v>
      </c>
    </row>
    <row r="45" spans="1:7" ht="15.75" thickTop="1" x14ac:dyDescent="0.25">
      <c r="A45" s="165" t="s">
        <v>81</v>
      </c>
      <c r="B45" s="28" t="s">
        <v>73</v>
      </c>
      <c r="C45" s="47">
        <v>4.9554707028144733</v>
      </c>
      <c r="D45" s="48">
        <v>4.9816078367378447</v>
      </c>
      <c r="E45" s="125">
        <v>4.9715727255871158</v>
      </c>
      <c r="F45" s="1">
        <f t="shared" si="10"/>
        <v>4.9695504217131443</v>
      </c>
      <c r="G45" s="2">
        <f t="shared" si="11"/>
        <v>1.0765832593629152E-2</v>
      </c>
    </row>
    <row r="46" spans="1:7" x14ac:dyDescent="0.25">
      <c r="A46" s="166"/>
      <c r="B46" s="29" t="s">
        <v>74</v>
      </c>
      <c r="C46" s="49">
        <v>4.7303772894686444</v>
      </c>
      <c r="D46" s="50">
        <v>4.7558081757174566</v>
      </c>
      <c r="E46" s="126">
        <v>4.7416319984748228</v>
      </c>
      <c r="F46" s="1">
        <f t="shared" si="10"/>
        <v>4.7426058212203079</v>
      </c>
      <c r="G46" s="2">
        <f t="shared" si="11"/>
        <v>1.0404926458324899E-2</v>
      </c>
    </row>
    <row r="47" spans="1:7" x14ac:dyDescent="0.25">
      <c r="A47" s="166"/>
      <c r="B47" s="29" t="s">
        <v>75</v>
      </c>
      <c r="C47" s="49">
        <v>4.7482669896104959</v>
      </c>
      <c r="D47" s="50">
        <v>4.7736739873897678</v>
      </c>
      <c r="E47" s="126">
        <v>4.7594660500339021</v>
      </c>
      <c r="F47" s="1">
        <f t="shared" si="10"/>
        <v>4.7604690090113886</v>
      </c>
      <c r="G47" s="2">
        <f t="shared" si="11"/>
        <v>1.0396580497832689E-2</v>
      </c>
    </row>
    <row r="48" spans="1:7" x14ac:dyDescent="0.25">
      <c r="A48" s="166"/>
      <c r="B48" s="29" t="s">
        <v>76</v>
      </c>
      <c r="C48" s="49">
        <v>4.7630897249412172</v>
      </c>
      <c r="D48" s="50">
        <v>4.787395082894994</v>
      </c>
      <c r="E48" s="126">
        <v>4.7738501028727782</v>
      </c>
      <c r="F48" s="1">
        <f t="shared" si="10"/>
        <v>4.7747783035696632</v>
      </c>
      <c r="G48" s="2">
        <f t="shared" si="11"/>
        <v>9.944304021752998E-3</v>
      </c>
    </row>
    <row r="49" spans="1:7" x14ac:dyDescent="0.25">
      <c r="A49" s="166"/>
      <c r="B49" s="29" t="s">
        <v>77</v>
      </c>
      <c r="C49" s="49">
        <v>4.7751660863346821</v>
      </c>
      <c r="D49" s="50">
        <v>4.7984288251960274</v>
      </c>
      <c r="E49" s="126">
        <v>4.7852189319722553</v>
      </c>
      <c r="F49" s="1">
        <f t="shared" si="10"/>
        <v>4.7862712811676547</v>
      </c>
      <c r="G49" s="2">
        <f t="shared" si="11"/>
        <v>9.5260811793930703E-3</v>
      </c>
    </row>
    <row r="50" spans="1:7" x14ac:dyDescent="0.25">
      <c r="A50" s="166"/>
      <c r="B50" s="29" t="s">
        <v>78</v>
      </c>
      <c r="C50" s="49">
        <v>4.7848757609161998</v>
      </c>
      <c r="D50" s="50">
        <v>4.8082323029053882</v>
      </c>
      <c r="E50" s="126">
        <v>4.789528303598857</v>
      </c>
      <c r="F50" s="1">
        <f t="shared" si="10"/>
        <v>4.7942121224734819</v>
      </c>
      <c r="G50" s="2">
        <f t="shared" si="11"/>
        <v>1.0094078556622442E-2</v>
      </c>
    </row>
    <row r="51" spans="1:7" x14ac:dyDescent="0.25">
      <c r="A51" s="166"/>
      <c r="B51" s="29" t="s">
        <v>79</v>
      </c>
      <c r="C51" s="49">
        <v>4.8101429969555767</v>
      </c>
      <c r="D51" s="50">
        <v>4.831642288712394</v>
      </c>
      <c r="E51" s="126">
        <v>4.818482113903265</v>
      </c>
      <c r="F51" s="1">
        <f t="shared" si="10"/>
        <v>4.8200891331904119</v>
      </c>
      <c r="G51" s="2">
        <f t="shared" si="11"/>
        <v>8.8503020571102462E-3</v>
      </c>
    </row>
    <row r="52" spans="1:7" x14ac:dyDescent="0.25">
      <c r="A52" s="166"/>
      <c r="B52" s="29" t="s">
        <v>82</v>
      </c>
      <c r="C52" s="49">
        <v>4.5980039341914738</v>
      </c>
      <c r="D52" s="50">
        <v>4.6199721957847801</v>
      </c>
      <c r="E52" s="126">
        <v>4.6097180754299973</v>
      </c>
      <c r="F52" s="1">
        <f t="shared" si="10"/>
        <v>4.6092314018020835</v>
      </c>
      <c r="G52" s="2">
        <f t="shared" si="11"/>
        <v>8.9751051163041908E-3</v>
      </c>
    </row>
    <row r="53" spans="1:7" x14ac:dyDescent="0.25">
      <c r="A53" s="166"/>
      <c r="B53" s="29" t="s">
        <v>83</v>
      </c>
      <c r="C53" s="49">
        <v>4.4125556289527106</v>
      </c>
      <c r="D53" s="50">
        <v>4.4370179930233968</v>
      </c>
      <c r="E53" s="126">
        <v>4.4231488162424846</v>
      </c>
      <c r="F53" s="1">
        <f t="shared" si="10"/>
        <v>4.424240812739531</v>
      </c>
      <c r="G53" s="2">
        <f t="shared" si="11"/>
        <v>1.0016524887866418E-2</v>
      </c>
    </row>
    <row r="54" spans="1:7" x14ac:dyDescent="0.25">
      <c r="A54" s="166"/>
      <c r="B54" s="29" t="s">
        <v>84</v>
      </c>
      <c r="C54" s="49">
        <v>4.0885227523565284</v>
      </c>
      <c r="D54" s="50">
        <v>4.0996813605536362</v>
      </c>
      <c r="E54" s="126">
        <v>4.075403131391738</v>
      </c>
      <c r="F54" s="1">
        <f t="shared" si="10"/>
        <v>4.0878690814339675</v>
      </c>
      <c r="G54" s="2">
        <f t="shared" si="11"/>
        <v>9.9223171710933721E-3</v>
      </c>
    </row>
    <row r="55" spans="1:7" x14ac:dyDescent="0.25">
      <c r="A55" s="166"/>
      <c r="B55" s="29" t="s">
        <v>85</v>
      </c>
      <c r="C55" s="49">
        <v>1.3520543899843429</v>
      </c>
      <c r="D55" s="50">
        <v>1.3140263958634271</v>
      </c>
      <c r="E55" s="126">
        <v>1.4059662074078449</v>
      </c>
      <c r="F55" s="1">
        <f t="shared" si="10"/>
        <v>1.3573489977518716</v>
      </c>
      <c r="G55" s="2">
        <f t="shared" si="11"/>
        <v>3.7720523947092348E-2</v>
      </c>
    </row>
    <row r="56" spans="1:7" ht="15.75" thickBot="1" x14ac:dyDescent="0.3">
      <c r="A56" s="167"/>
      <c r="B56" s="30" t="s">
        <v>86</v>
      </c>
      <c r="C56" s="51">
        <v>0.35343284382926099</v>
      </c>
      <c r="D56" s="52">
        <v>0.33802564823786418</v>
      </c>
      <c r="E56" s="127">
        <v>0.34562978163189351</v>
      </c>
      <c r="F56" s="1">
        <f t="shared" si="10"/>
        <v>0.34569609123300626</v>
      </c>
      <c r="G56" s="2">
        <f t="shared" si="11"/>
        <v>6.2901360197422911E-3</v>
      </c>
    </row>
    <row r="57" spans="1:7" ht="15.75" thickTop="1" x14ac:dyDescent="0.25">
      <c r="A57" s="165" t="s">
        <v>87</v>
      </c>
      <c r="B57" s="31">
        <v>0.9</v>
      </c>
      <c r="C57" s="53">
        <v>21.794668640309567</v>
      </c>
      <c r="D57" s="54">
        <v>19.611360796171525</v>
      </c>
      <c r="E57" s="128">
        <v>22.844563227414316</v>
      </c>
      <c r="F57" s="1">
        <f t="shared" si="10"/>
        <v>21.416864221298468</v>
      </c>
      <c r="G57" s="2">
        <f t="shared" si="11"/>
        <v>1.3467124475593168</v>
      </c>
    </row>
    <row r="58" spans="1:7" x14ac:dyDescent="0.25">
      <c r="A58" s="166"/>
      <c r="B58" s="32">
        <v>0.8</v>
      </c>
      <c r="C58" s="49">
        <v>24.023666849494042</v>
      </c>
      <c r="D58" s="50">
        <v>21.060514119158004</v>
      </c>
      <c r="E58" s="126">
        <v>25.749648068120511</v>
      </c>
      <c r="F58" s="1">
        <f t="shared" si="10"/>
        <v>23.611276345590852</v>
      </c>
      <c r="G58" s="2">
        <f t="shared" si="11"/>
        <v>1.9364131349155709</v>
      </c>
    </row>
    <row r="59" spans="1:7" x14ac:dyDescent="0.25">
      <c r="A59" s="166"/>
      <c r="B59" s="32">
        <v>0.7</v>
      </c>
      <c r="C59" s="55">
        <v>27.512164136085293</v>
      </c>
      <c r="D59" s="56">
        <v>23.326613745900442</v>
      </c>
      <c r="E59" s="129">
        <v>29.909628984092791</v>
      </c>
      <c r="F59" s="1">
        <f t="shared" si="10"/>
        <v>26.916135622026175</v>
      </c>
      <c r="G59" s="2">
        <f t="shared" si="11"/>
        <v>2.7203504552106241</v>
      </c>
    </row>
    <row r="60" spans="1:7" x14ac:dyDescent="0.25">
      <c r="A60" s="166"/>
      <c r="B60" s="32">
        <v>0.6</v>
      </c>
      <c r="C60" s="55">
        <v>34.600268163839708</v>
      </c>
      <c r="D60" s="56">
        <v>28.348434216638463</v>
      </c>
      <c r="E60" s="129">
        <v>38.475029845092941</v>
      </c>
      <c r="F60" s="1">
        <f t="shared" si="10"/>
        <v>33.807910741857036</v>
      </c>
      <c r="G60" s="2">
        <f t="shared" si="11"/>
        <v>4.1719585703189441</v>
      </c>
    </row>
    <row r="61" spans="1:7" x14ac:dyDescent="0.25">
      <c r="A61" s="166"/>
      <c r="B61" s="32">
        <v>0.5</v>
      </c>
      <c r="C61" s="55">
        <v>51.779473976498856</v>
      </c>
      <c r="D61" s="56">
        <v>43.181029087261059</v>
      </c>
      <c r="E61" s="129">
        <v>60.392742258985848</v>
      </c>
      <c r="F61" s="1">
        <f t="shared" si="10"/>
        <v>51.784415107581914</v>
      </c>
      <c r="G61" s="2">
        <f t="shared" si="11"/>
        <v>7.0266533469599075</v>
      </c>
    </row>
    <row r="62" spans="1:7" x14ac:dyDescent="0.25">
      <c r="A62" s="166"/>
      <c r="B62" s="32">
        <v>0.4</v>
      </c>
      <c r="C62" s="55">
        <v>65.867208207791734</v>
      </c>
      <c r="D62" s="56">
        <v>62.780162900440367</v>
      </c>
      <c r="E62" s="129">
        <v>62.612940253810542</v>
      </c>
      <c r="F62" s="1">
        <f t="shared" si="10"/>
        <v>63.753437120680879</v>
      </c>
      <c r="G62" s="2">
        <f t="shared" si="11"/>
        <v>1.4962201286165122</v>
      </c>
    </row>
    <row r="63" spans="1:7" x14ac:dyDescent="0.25">
      <c r="A63" s="166"/>
      <c r="B63" s="32">
        <v>0.3</v>
      </c>
      <c r="C63" s="55">
        <v>66.081230039661193</v>
      </c>
      <c r="D63" s="56">
        <v>61.840336509164125</v>
      </c>
      <c r="E63" s="129">
        <v>61.949395612359226</v>
      </c>
      <c r="F63" s="1">
        <f t="shared" si="10"/>
        <v>63.290320720394845</v>
      </c>
      <c r="G63" s="2">
        <f t="shared" si="11"/>
        <v>1.9739730820983403</v>
      </c>
    </row>
    <row r="64" spans="1:7" x14ac:dyDescent="0.25">
      <c r="A64" s="166"/>
      <c r="B64" s="32">
        <v>0.2</v>
      </c>
      <c r="C64" s="55">
        <v>67.820338451702838</v>
      </c>
      <c r="D64" s="56">
        <v>63.408719931316661</v>
      </c>
      <c r="E64" s="129">
        <v>62.289139798980486</v>
      </c>
      <c r="F64" s="1">
        <f t="shared" si="10"/>
        <v>64.506066060666669</v>
      </c>
      <c r="G64" s="2">
        <f t="shared" si="11"/>
        <v>2.3876998736118358</v>
      </c>
    </row>
    <row r="65" spans="1:7" x14ac:dyDescent="0.25">
      <c r="A65" s="166"/>
      <c r="B65" s="32">
        <v>0.1</v>
      </c>
      <c r="C65" s="55">
        <v>72.087736823118874</v>
      </c>
      <c r="D65" s="56">
        <v>67.325989712275842</v>
      </c>
      <c r="E65" s="129">
        <v>66.078117250002521</v>
      </c>
      <c r="F65" s="1">
        <f t="shared" si="10"/>
        <v>68.497281261799074</v>
      </c>
      <c r="G65" s="2">
        <f t="shared" si="11"/>
        <v>2.5894432830094587</v>
      </c>
    </row>
    <row r="66" spans="1:7" x14ac:dyDescent="0.25">
      <c r="A66" s="166"/>
      <c r="B66" s="32">
        <v>0.5</v>
      </c>
      <c r="C66" s="55">
        <v>22.43933370453059</v>
      </c>
      <c r="D66" s="56">
        <v>18.11881223966467</v>
      </c>
      <c r="E66" s="129">
        <v>23.84021854565783</v>
      </c>
      <c r="F66" s="1">
        <f t="shared" si="10"/>
        <v>21.466121496617699</v>
      </c>
      <c r="G66" s="2">
        <f t="shared" si="11"/>
        <v>2.4350193744318069</v>
      </c>
    </row>
    <row r="67" spans="1:7" ht="15.75" thickBot="1" x14ac:dyDescent="0.3">
      <c r="A67" s="167"/>
      <c r="B67" s="33">
        <v>0.2</v>
      </c>
      <c r="C67" s="57">
        <v>56.415275349062718</v>
      </c>
      <c r="D67" s="58">
        <v>54.074178067856522</v>
      </c>
      <c r="E67" s="130">
        <v>56.105492663490232</v>
      </c>
      <c r="F67" s="1">
        <f t="shared" si="10"/>
        <v>55.531648693469826</v>
      </c>
      <c r="G67" s="2">
        <f t="shared" si="11"/>
        <v>1.0383181260944216</v>
      </c>
    </row>
    <row r="68" spans="1:7" ht="15.75" thickTop="1" x14ac:dyDescent="0.25">
      <c r="A68" s="165" t="s">
        <v>88</v>
      </c>
      <c r="B68" s="31">
        <v>0.9</v>
      </c>
      <c r="C68" s="47">
        <v>22.181913231566117</v>
      </c>
      <c r="D68" s="59">
        <v>20.164081205323114</v>
      </c>
      <c r="E68" s="131">
        <v>23.231424491644372</v>
      </c>
      <c r="F68" s="1">
        <f t="shared" si="10"/>
        <v>21.859139642844536</v>
      </c>
      <c r="G68" s="2">
        <f t="shared" si="11"/>
        <v>1.2728670528161168</v>
      </c>
    </row>
    <row r="69" spans="1:7" x14ac:dyDescent="0.25">
      <c r="A69" s="166"/>
      <c r="B69" s="32">
        <v>0.8</v>
      </c>
      <c r="C69" s="55">
        <v>24.577059462304838</v>
      </c>
      <c r="D69" s="56">
        <v>21.746730414351497</v>
      </c>
      <c r="E69" s="129">
        <v>26.248442822437244</v>
      </c>
      <c r="F69" s="1">
        <f t="shared" si="10"/>
        <v>24.190744233031193</v>
      </c>
      <c r="G69" s="2">
        <f t="shared" si="11"/>
        <v>1.8580066816447596</v>
      </c>
    </row>
    <row r="70" spans="1:7" x14ac:dyDescent="0.25">
      <c r="A70" s="166"/>
      <c r="B70" s="32">
        <v>0.7</v>
      </c>
      <c r="C70" s="55">
        <v>28.296175886430863</v>
      </c>
      <c r="D70" s="56">
        <v>24.152205410284527</v>
      </c>
      <c r="E70" s="129">
        <v>30.207094666060069</v>
      </c>
      <c r="F70" s="1">
        <f t="shared" si="10"/>
        <v>27.55182532092515</v>
      </c>
      <c r="G70" s="2">
        <f t="shared" si="11"/>
        <v>2.5273127096058676</v>
      </c>
    </row>
    <row r="71" spans="1:7" x14ac:dyDescent="0.25">
      <c r="A71" s="166"/>
      <c r="B71" s="32">
        <v>0.6</v>
      </c>
      <c r="C71" s="55">
        <v>35.113055627873855</v>
      </c>
      <c r="D71" s="56">
        <v>29.443013574911756</v>
      </c>
      <c r="E71" s="129">
        <v>37.919660667281477</v>
      </c>
      <c r="F71" s="1">
        <f t="shared" si="10"/>
        <v>34.158576623355692</v>
      </c>
      <c r="G71" s="2">
        <f t="shared" si="11"/>
        <v>3.525777371464319</v>
      </c>
    </row>
    <row r="72" spans="1:7" x14ac:dyDescent="0.25">
      <c r="A72" s="166"/>
      <c r="B72" s="32">
        <v>0.5</v>
      </c>
      <c r="C72" s="55">
        <v>49.728766715925339</v>
      </c>
      <c r="D72" s="56">
        <v>43.940415483180061</v>
      </c>
      <c r="E72" s="129">
        <v>54.349567059148008</v>
      </c>
      <c r="F72" s="1">
        <f t="shared" si="10"/>
        <v>49.339583086084467</v>
      </c>
      <c r="G72" s="2">
        <f t="shared" si="11"/>
        <v>4.2584196643176666</v>
      </c>
    </row>
    <row r="73" spans="1:7" x14ac:dyDescent="0.25">
      <c r="A73" s="166"/>
      <c r="B73" s="32">
        <v>0.4</v>
      </c>
      <c r="C73" s="55">
        <v>60.662583283756298</v>
      </c>
      <c r="D73" s="56">
        <v>59.345641364994563</v>
      </c>
      <c r="E73" s="129">
        <v>56.070973955212438</v>
      </c>
      <c r="F73" s="1">
        <f t="shared" si="10"/>
        <v>58.693066201321095</v>
      </c>
      <c r="G73" s="2">
        <f t="shared" si="11"/>
        <v>1.9304765930852994</v>
      </c>
    </row>
    <row r="74" spans="1:7" x14ac:dyDescent="0.25">
      <c r="A74" s="166"/>
      <c r="B74" s="32">
        <v>0.3</v>
      </c>
      <c r="C74" s="55">
        <v>61.13356909753481</v>
      </c>
      <c r="D74" s="56">
        <v>58.619760227171277</v>
      </c>
      <c r="E74" s="129">
        <v>55.679138503628835</v>
      </c>
      <c r="F74" s="1">
        <f t="shared" si="10"/>
        <v>58.47748927611164</v>
      </c>
      <c r="G74" s="2">
        <f t="shared" si="11"/>
        <v>2.2290332797831041</v>
      </c>
    </row>
    <row r="75" spans="1:7" x14ac:dyDescent="0.25">
      <c r="A75" s="166"/>
      <c r="B75" s="32">
        <v>0.2</v>
      </c>
      <c r="C75" s="55">
        <v>64.80183534310332</v>
      </c>
      <c r="D75" s="56">
        <v>62.054185140159383</v>
      </c>
      <c r="E75" s="129">
        <v>60.832350498368854</v>
      </c>
      <c r="F75" s="1">
        <f t="shared" si="10"/>
        <v>62.562790327210529</v>
      </c>
      <c r="G75" s="2">
        <f t="shared" si="11"/>
        <v>1.6599622305674395</v>
      </c>
    </row>
    <row r="76" spans="1:7" x14ac:dyDescent="0.25">
      <c r="A76" s="166"/>
      <c r="B76" s="32">
        <v>0.1</v>
      </c>
      <c r="C76" s="55">
        <v>110.95664236856759</v>
      </c>
      <c r="D76" s="56">
        <v>109.91805540109247</v>
      </c>
      <c r="E76" s="129">
        <v>117.47715621699173</v>
      </c>
      <c r="F76" s="1">
        <f t="shared" si="10"/>
        <v>112.78395132888393</v>
      </c>
      <c r="G76" s="2">
        <f t="shared" si="11"/>
        <v>3.3455736741323854</v>
      </c>
    </row>
    <row r="77" spans="1:7" x14ac:dyDescent="0.25">
      <c r="A77" s="166"/>
      <c r="B77" s="32">
        <v>0.5</v>
      </c>
      <c r="C77" s="55">
        <v>22.808604175960294</v>
      </c>
      <c r="D77" s="56">
        <v>18.44301004771345</v>
      </c>
      <c r="E77" s="129">
        <v>23.880315507115011</v>
      </c>
      <c r="F77" s="1">
        <f t="shared" si="10"/>
        <v>21.710643243596252</v>
      </c>
      <c r="G77" s="2">
        <f t="shared" si="11"/>
        <v>2.3516251574117386</v>
      </c>
    </row>
    <row r="78" spans="1:7" ht="15.75" thickBot="1" x14ac:dyDescent="0.3">
      <c r="A78" s="167"/>
      <c r="B78" s="33">
        <v>0.2</v>
      </c>
      <c r="C78" s="57">
        <v>67.848190040124805</v>
      </c>
      <c r="D78" s="58">
        <v>65.371589180693704</v>
      </c>
      <c r="E78" s="130">
        <v>63.204954074925809</v>
      </c>
      <c r="F78" s="1">
        <f t="shared" si="10"/>
        <v>65.474911098581444</v>
      </c>
      <c r="G78" s="2">
        <f t="shared" si="11"/>
        <v>1.8970005484389236</v>
      </c>
    </row>
    <row r="79" spans="1:7" ht="16.5" thickTop="1" thickBot="1" x14ac:dyDescent="0.3">
      <c r="A79" s="34"/>
      <c r="B79" s="35"/>
    </row>
    <row r="80" spans="1:7" ht="15.75" thickBot="1" x14ac:dyDescent="0.3">
      <c r="A80" s="36"/>
      <c r="B80" s="37" t="s">
        <v>89</v>
      </c>
      <c r="C80">
        <f>C25</f>
        <v>2.9697215999999999E-2</v>
      </c>
      <c r="D80">
        <f t="shared" ref="D80:E80" si="12">D25</f>
        <v>2.9754240000000001E-2</v>
      </c>
      <c r="E80">
        <f t="shared" si="12"/>
        <v>2.9773247999999999E-2</v>
      </c>
      <c r="F80" s="1">
        <f t="shared" ref="F80:F104" si="13">AVERAGE(C80:E80)</f>
        <v>2.9741567999999999E-2</v>
      </c>
      <c r="G80" s="2">
        <f t="shared" ref="G80:G104" si="14">_xlfn.STDEV.P(C80:E80)</f>
        <v>3.2307387638124305E-5</v>
      </c>
    </row>
    <row r="81" spans="1:7" ht="15.75" thickTop="1" x14ac:dyDescent="0.25">
      <c r="A81" s="161" t="s">
        <v>90</v>
      </c>
      <c r="B81" s="38" t="s">
        <v>73</v>
      </c>
      <c r="C81">
        <f>C33/C80</f>
        <v>182.93362644090629</v>
      </c>
      <c r="D81">
        <f t="shared" ref="D81:E81" si="15">D33/D80</f>
        <v>183.13651137112402</v>
      </c>
      <c r="E81">
        <f t="shared" si="15"/>
        <v>183.26276538374259</v>
      </c>
      <c r="F81" s="1">
        <f t="shared" si="13"/>
        <v>183.11096773192432</v>
      </c>
      <c r="G81" s="2">
        <f t="shared" si="14"/>
        <v>0.13557892916556605</v>
      </c>
    </row>
    <row r="82" spans="1:7" x14ac:dyDescent="0.25">
      <c r="A82" s="162"/>
      <c r="B82" s="38" t="s">
        <v>74</v>
      </c>
      <c r="C82">
        <f>C34/C80</f>
        <v>167.51442177163693</v>
      </c>
      <c r="D82">
        <f t="shared" ref="D82:E82" si="16">D34/D80</f>
        <v>168.05126226193281</v>
      </c>
      <c r="E82">
        <f t="shared" si="16"/>
        <v>167.52032121542709</v>
      </c>
      <c r="F82" s="1">
        <f t="shared" si="13"/>
        <v>167.69533508299892</v>
      </c>
      <c r="G82" s="2">
        <f t="shared" si="14"/>
        <v>0.25169004534297346</v>
      </c>
    </row>
    <row r="83" spans="1:7" x14ac:dyDescent="0.25">
      <c r="A83" s="162"/>
      <c r="B83" s="38" t="s">
        <v>75</v>
      </c>
      <c r="C83">
        <f>C35/C80</f>
        <v>159.68728564454574</v>
      </c>
      <c r="D83">
        <f t="shared" ref="D83:E83" si="17">D35/D80</f>
        <v>160.23750979554464</v>
      </c>
      <c r="E83">
        <f t="shared" si="17"/>
        <v>159.63023364283237</v>
      </c>
      <c r="F83" s="1">
        <f t="shared" si="13"/>
        <v>159.85167636097427</v>
      </c>
      <c r="G83" s="2">
        <f t="shared" si="14"/>
        <v>0.27381783743840121</v>
      </c>
    </row>
    <row r="84" spans="1:7" x14ac:dyDescent="0.25">
      <c r="A84" s="162"/>
      <c r="B84" s="38" t="s">
        <v>76</v>
      </c>
      <c r="C84">
        <f>C36/C80</f>
        <v>160.2693539388024</v>
      </c>
      <c r="D84">
        <f t="shared" ref="D84:E84" si="18">D36/D80</f>
        <v>160.83263416209482</v>
      </c>
      <c r="E84">
        <f t="shared" si="18"/>
        <v>160.22573188075256</v>
      </c>
      <c r="F84" s="1">
        <f t="shared" si="13"/>
        <v>160.44257332721659</v>
      </c>
      <c r="G84" s="2">
        <f t="shared" si="14"/>
        <v>0.27638899178096848</v>
      </c>
    </row>
    <row r="85" spans="1:7" x14ac:dyDescent="0.25">
      <c r="A85" s="162"/>
      <c r="B85" s="38" t="s">
        <v>77</v>
      </c>
      <c r="C85">
        <f>C37/C80</f>
        <v>160.75396936736382</v>
      </c>
      <c r="D85">
        <f t="shared" ref="D85:E85" si="19">D37/D80</f>
        <v>161.27580698215121</v>
      </c>
      <c r="E85">
        <f t="shared" si="19"/>
        <v>160.6859312925092</v>
      </c>
      <c r="F85" s="1">
        <f t="shared" si="13"/>
        <v>160.90523588067472</v>
      </c>
      <c r="G85" s="2">
        <f t="shared" si="14"/>
        <v>0.2635014242144843</v>
      </c>
    </row>
    <row r="86" spans="1:7" x14ac:dyDescent="0.25">
      <c r="A86" s="162"/>
      <c r="B86" s="38" t="s">
        <v>78</v>
      </c>
      <c r="C86">
        <f>C38/C80</f>
        <v>161.14009988664625</v>
      </c>
      <c r="D86">
        <f t="shared" ref="D86:E86" si="20">D38/D80</f>
        <v>161.62902536200667</v>
      </c>
      <c r="E86">
        <f t="shared" si="20"/>
        <v>161.06571726330287</v>
      </c>
      <c r="F86" s="1">
        <f t="shared" si="13"/>
        <v>161.27828083731859</v>
      </c>
      <c r="G86" s="2">
        <f t="shared" si="14"/>
        <v>0.24986594387505381</v>
      </c>
    </row>
    <row r="87" spans="1:7" x14ac:dyDescent="0.25">
      <c r="A87" s="162"/>
      <c r="B87" s="38" t="s">
        <v>79</v>
      </c>
      <c r="C87">
        <f>C39/C80</f>
        <v>162.0509024368971</v>
      </c>
      <c r="D87">
        <f t="shared" ref="D87:E87" si="21">D39/D80</f>
        <v>162.50497905891584</v>
      </c>
      <c r="E87">
        <f t="shared" si="21"/>
        <v>162.0020606624839</v>
      </c>
      <c r="F87" s="1">
        <f t="shared" si="13"/>
        <v>162.18598071943231</v>
      </c>
      <c r="G87" s="2">
        <f t="shared" si="14"/>
        <v>0.22644548302981207</v>
      </c>
    </row>
    <row r="88" spans="1:7" x14ac:dyDescent="0.25">
      <c r="A88" s="162"/>
      <c r="B88" s="38" t="s">
        <v>80</v>
      </c>
      <c r="C88">
        <f>C40/C80</f>
        <v>161.82772377459139</v>
      </c>
      <c r="D88">
        <f t="shared" ref="D88:E88" si="22">D40/D80</f>
        <v>162.24165100358928</v>
      </c>
      <c r="E88">
        <f t="shared" si="22"/>
        <v>161.73188940207405</v>
      </c>
      <c r="F88" s="1">
        <f t="shared" si="13"/>
        <v>161.93375472675157</v>
      </c>
      <c r="G88" s="2">
        <f t="shared" si="14"/>
        <v>0.22120299079780537</v>
      </c>
    </row>
    <row r="89" spans="1:7" x14ac:dyDescent="0.25">
      <c r="A89" s="162"/>
      <c r="B89" s="38" t="s">
        <v>80</v>
      </c>
      <c r="C89">
        <f>C41/C80</f>
        <v>155.1047958293874</v>
      </c>
      <c r="D89">
        <f t="shared" ref="D89:E89" si="23">D41/D80</f>
        <v>155.57554258656313</v>
      </c>
      <c r="E89">
        <f t="shared" si="23"/>
        <v>155.11038435748671</v>
      </c>
      <c r="F89" s="1">
        <f t="shared" si="13"/>
        <v>155.26357425781239</v>
      </c>
      <c r="G89" s="2">
        <f t="shared" si="14"/>
        <v>0.22060671872394141</v>
      </c>
    </row>
    <row r="90" spans="1:7" x14ac:dyDescent="0.25">
      <c r="A90" s="162"/>
      <c r="B90" s="38" t="s">
        <v>80</v>
      </c>
      <c r="C90">
        <f>C42/C80</f>
        <v>148.78494861053917</v>
      </c>
      <c r="D90">
        <f t="shared" ref="D90:E90" si="24">D42/D80</f>
        <v>149.36479295926006</v>
      </c>
      <c r="E90">
        <f t="shared" si="24"/>
        <v>148.87182183771921</v>
      </c>
      <c r="F90" s="1">
        <f t="shared" si="13"/>
        <v>149.00718780250614</v>
      </c>
      <c r="G90" s="2">
        <f t="shared" si="14"/>
        <v>0.25534006801767972</v>
      </c>
    </row>
    <row r="91" spans="1:7" x14ac:dyDescent="0.25">
      <c r="A91" s="162"/>
      <c r="B91" s="38" t="s">
        <v>80</v>
      </c>
      <c r="C91">
        <f>C43/C80</f>
        <v>132.37688486192536</v>
      </c>
      <c r="D91">
        <f t="shared" ref="D91:E91" si="25">D43/D80</f>
        <v>132.81345355182668</v>
      </c>
      <c r="E91">
        <f t="shared" si="25"/>
        <v>132.70141241893865</v>
      </c>
      <c r="F91" s="1">
        <f t="shared" si="13"/>
        <v>132.63058361089691</v>
      </c>
      <c r="G91" s="2">
        <f t="shared" si="14"/>
        <v>0.18513165637279169</v>
      </c>
    </row>
    <row r="92" spans="1:7" ht="15.75" thickBot="1" x14ac:dyDescent="0.3">
      <c r="A92" s="163"/>
      <c r="B92" s="39" t="s">
        <v>80</v>
      </c>
      <c r="C92">
        <f>C44/C80</f>
        <v>45.658898072707657</v>
      </c>
      <c r="D92">
        <f t="shared" ref="D92:E92" si="26">D44/D80</f>
        <v>44.203915049971229</v>
      </c>
      <c r="E92">
        <f t="shared" si="26"/>
        <v>47.447894384172962</v>
      </c>
      <c r="F92" s="1">
        <f t="shared" si="13"/>
        <v>45.770235835617285</v>
      </c>
      <c r="G92" s="2">
        <f t="shared" si="14"/>
        <v>1.326686989777988</v>
      </c>
    </row>
    <row r="93" spans="1:7" ht="15.75" thickTop="1" x14ac:dyDescent="0.25">
      <c r="A93" s="161" t="s">
        <v>91</v>
      </c>
      <c r="B93" s="40" t="s">
        <v>73</v>
      </c>
      <c r="C93">
        <f>C45/C80</f>
        <v>166.86650704276366</v>
      </c>
      <c r="D93">
        <f t="shared" ref="D93:E93" si="27">D45/D80</f>
        <v>167.42514131558542</v>
      </c>
      <c r="E93">
        <f t="shared" si="27"/>
        <v>166.98120156682657</v>
      </c>
      <c r="F93" s="1">
        <f t="shared" si="13"/>
        <v>167.09094997505858</v>
      </c>
      <c r="G93" s="2">
        <f t="shared" si="14"/>
        <v>0.24090329667713131</v>
      </c>
    </row>
    <row r="94" spans="1:7" x14ac:dyDescent="0.25">
      <c r="A94" s="162"/>
      <c r="B94" s="38" t="s">
        <v>74</v>
      </c>
      <c r="C94">
        <f>C46/C80</f>
        <v>159.28689374346217</v>
      </c>
      <c r="D94">
        <f t="shared" ref="D94:E94" si="28">D46/D80</f>
        <v>159.83631831017885</v>
      </c>
      <c r="E94">
        <f t="shared" si="28"/>
        <v>159.25813664921014</v>
      </c>
      <c r="F94" s="1">
        <f t="shared" si="13"/>
        <v>159.46044956761708</v>
      </c>
      <c r="G94" s="2">
        <f t="shared" si="14"/>
        <v>0.26603850140370633</v>
      </c>
    </row>
    <row r="95" spans="1:7" x14ac:dyDescent="0.25">
      <c r="A95" s="162"/>
      <c r="B95" s="38" t="s">
        <v>75</v>
      </c>
      <c r="C95">
        <f>C47/C80</f>
        <v>159.88929701728594</v>
      </c>
      <c r="D95">
        <f t="shared" ref="D95:E95" si="29">D47/D80</f>
        <v>160.43676421880605</v>
      </c>
      <c r="E95">
        <f t="shared" si="29"/>
        <v>159.85713248463529</v>
      </c>
      <c r="F95" s="1">
        <f t="shared" si="13"/>
        <v>160.06106457357575</v>
      </c>
      <c r="G95" s="2">
        <f t="shared" si="14"/>
        <v>0.26598409333364598</v>
      </c>
    </row>
    <row r="96" spans="1:7" x14ac:dyDescent="0.25">
      <c r="A96" s="162"/>
      <c r="B96" s="38" t="s">
        <v>76</v>
      </c>
      <c r="C96">
        <f>C48/C80</f>
        <v>160.38842580197476</v>
      </c>
      <c r="D96">
        <f t="shared" ref="D96:E96" si="30">D48/D80</f>
        <v>160.8979117898825</v>
      </c>
      <c r="E96">
        <f t="shared" si="30"/>
        <v>160.34025252712698</v>
      </c>
      <c r="F96" s="1">
        <f t="shared" si="13"/>
        <v>160.5421967063281</v>
      </c>
      <c r="G96" s="2">
        <f t="shared" si="14"/>
        <v>0.25229623012573382</v>
      </c>
    </row>
    <row r="97" spans="1:7" x14ac:dyDescent="0.25">
      <c r="A97" s="162"/>
      <c r="B97" s="38" t="s">
        <v>77</v>
      </c>
      <c r="C97">
        <f>C49/C80</f>
        <v>160.79507541497097</v>
      </c>
      <c r="D97">
        <f t="shared" ref="D97:E97" si="31">D49/D80</f>
        <v>161.26874103307722</v>
      </c>
      <c r="E97">
        <f t="shared" si="31"/>
        <v>160.72209965040614</v>
      </c>
      <c r="F97" s="1">
        <f t="shared" si="13"/>
        <v>160.92863869948476</v>
      </c>
      <c r="G97" s="2">
        <f t="shared" si="14"/>
        <v>0.24232700157669274</v>
      </c>
    </row>
    <row r="98" spans="1:7" x14ac:dyDescent="0.25">
      <c r="A98" s="162"/>
      <c r="B98" s="38" t="s">
        <v>78</v>
      </c>
      <c r="C98">
        <f>C50/C80</f>
        <v>161.12203113302607</v>
      </c>
      <c r="D98">
        <f t="shared" ref="D98:E98" si="32">D50/D80</f>
        <v>161.59822273751197</v>
      </c>
      <c r="E98">
        <f t="shared" si="32"/>
        <v>160.86683937200459</v>
      </c>
      <c r="F98" s="1">
        <f t="shared" si="13"/>
        <v>161.19569774751423</v>
      </c>
      <c r="G98" s="2">
        <f t="shared" si="14"/>
        <v>0.30309567730650683</v>
      </c>
    </row>
    <row r="99" spans="1:7" x14ac:dyDescent="0.25">
      <c r="A99" s="162"/>
      <c r="B99" s="38" t="s">
        <v>79</v>
      </c>
      <c r="C99">
        <f>C51/C80</f>
        <v>161.97285957564429</v>
      </c>
      <c r="D99">
        <f t="shared" ref="D99:E99" si="33">D51/D80</f>
        <v>162.38500088432417</v>
      </c>
      <c r="E99">
        <f t="shared" si="33"/>
        <v>161.83931675520472</v>
      </c>
      <c r="F99" s="1">
        <f t="shared" si="13"/>
        <v>162.06572573839108</v>
      </c>
      <c r="G99" s="2">
        <f t="shared" si="14"/>
        <v>0.23225113610155612</v>
      </c>
    </row>
    <row r="100" spans="1:7" x14ac:dyDescent="0.25">
      <c r="A100" s="162"/>
      <c r="B100" s="38" t="s">
        <v>82</v>
      </c>
      <c r="C100">
        <f>C52/C80</f>
        <v>154.82946058618674</v>
      </c>
      <c r="D100">
        <f t="shared" ref="D100:E100" si="34">D52/D80</f>
        <v>155.27105366444513</v>
      </c>
      <c r="E100">
        <f t="shared" si="34"/>
        <v>154.8275174891902</v>
      </c>
      <c r="F100" s="1">
        <f t="shared" si="13"/>
        <v>154.97601057994069</v>
      </c>
      <c r="G100" s="2">
        <f t="shared" si="14"/>
        <v>0.2086284739146059</v>
      </c>
    </row>
    <row r="101" spans="1:7" x14ac:dyDescent="0.25">
      <c r="A101" s="162"/>
      <c r="B101" s="38" t="s">
        <v>83</v>
      </c>
      <c r="C101">
        <f>C53/C80</f>
        <v>148.58482454896483</v>
      </c>
      <c r="D101">
        <f t="shared" ref="D101:E101" si="35">D53/D80</f>
        <v>149.12220890277811</v>
      </c>
      <c r="E101">
        <f t="shared" si="35"/>
        <v>148.56117868774294</v>
      </c>
      <c r="F101" s="1">
        <f t="shared" si="13"/>
        <v>148.75607071316196</v>
      </c>
      <c r="G101" s="2">
        <f t="shared" si="14"/>
        <v>0.25907870375592557</v>
      </c>
    </row>
    <row r="102" spans="1:7" x14ac:dyDescent="0.25">
      <c r="A102" s="162"/>
      <c r="B102" s="38" t="s">
        <v>84</v>
      </c>
      <c r="C102">
        <f>C54/C80</f>
        <v>137.67360389460509</v>
      </c>
      <c r="D102">
        <f t="shared" ref="D102:E102" si="36">D54/D80</f>
        <v>137.78477825525491</v>
      </c>
      <c r="E102">
        <f t="shared" si="36"/>
        <v>136.88137523295202</v>
      </c>
      <c r="F102" s="1">
        <f t="shared" si="13"/>
        <v>137.44658579427065</v>
      </c>
      <c r="G102" s="2">
        <f t="shared" si="14"/>
        <v>0.40223307388136853</v>
      </c>
    </row>
    <row r="103" spans="1:7" x14ac:dyDescent="0.25">
      <c r="A103" s="162"/>
      <c r="B103" s="38" t="s">
        <v>85</v>
      </c>
      <c r="C103">
        <f>C55/C80</f>
        <v>45.527984508189014</v>
      </c>
      <c r="D103">
        <f t="shared" ref="D103:E103" si="37">D55/D80</f>
        <v>44.162660375913717</v>
      </c>
      <c r="E103">
        <f t="shared" si="37"/>
        <v>47.222466538009051</v>
      </c>
      <c r="F103" s="1">
        <f t="shared" si="13"/>
        <v>45.637703807370599</v>
      </c>
      <c r="G103" s="2">
        <f t="shared" si="14"/>
        <v>1.2515675986161827</v>
      </c>
    </row>
    <row r="104" spans="1:7" ht="15.75" thickBot="1" x14ac:dyDescent="0.3">
      <c r="A104" s="163"/>
      <c r="B104" s="39" t="s">
        <v>86</v>
      </c>
      <c r="C104">
        <f>C56/C80</f>
        <v>11.901211340122286</v>
      </c>
      <c r="D104">
        <f t="shared" ref="D104:E104" si="38">D56/D80</f>
        <v>11.360587541065211</v>
      </c>
      <c r="E104">
        <f t="shared" si="38"/>
        <v>11.608736192702036</v>
      </c>
      <c r="F104" s="1">
        <f t="shared" si="13"/>
        <v>11.623511691296509</v>
      </c>
      <c r="G104" s="2">
        <f t="shared" si="14"/>
        <v>0.22095589234922369</v>
      </c>
    </row>
    <row r="105" spans="1:7" ht="16.5" thickTop="1" thickBot="1" x14ac:dyDescent="0.3">
      <c r="A105" s="41"/>
      <c r="B105" s="42" t="s">
        <v>92</v>
      </c>
    </row>
    <row r="106" spans="1:7" ht="15.75" thickTop="1" x14ac:dyDescent="0.25">
      <c r="A106" s="36"/>
      <c r="B106" s="40" t="s">
        <v>93</v>
      </c>
      <c r="C106">
        <f>C55/C51</f>
        <v>0.28108403239572749</v>
      </c>
      <c r="D106">
        <f t="shared" ref="D106:E106" si="39">D55/D51</f>
        <v>0.27196268211602392</v>
      </c>
      <c r="E106">
        <f t="shared" si="39"/>
        <v>0.29178612147403538</v>
      </c>
      <c r="F106" s="1">
        <f>AVERAGE(C106:E106)</f>
        <v>0.2816109453285956</v>
      </c>
      <c r="G106" s="2">
        <f>_xlfn.STDEV.P(C106:E106)</f>
        <v>8.101457273203265E-3</v>
      </c>
    </row>
    <row r="107" spans="1:7" ht="15.75" thickBot="1" x14ac:dyDescent="0.3">
      <c r="A107" s="36"/>
      <c r="B107" s="39" t="s">
        <v>94</v>
      </c>
      <c r="C107">
        <f>(1-C45/C33)*100</f>
        <v>8.7830322454865222</v>
      </c>
      <c r="D107">
        <f t="shared" ref="D107:E107" si="40">(1-D45/D33)*100</f>
        <v>8.5790484583927018</v>
      </c>
      <c r="E107">
        <f t="shared" si="40"/>
        <v>8.8842726905398735</v>
      </c>
      <c r="F107" s="1">
        <f>AVERAGE(C107:E107)</f>
        <v>8.7487844648063646</v>
      </c>
      <c r="G107" s="2">
        <f>_xlfn.STDEV.P(C107:E107)</f>
        <v>0.12693867504585221</v>
      </c>
    </row>
    <row r="108" spans="1:7" ht="15.75" thickTop="1" x14ac:dyDescent="0.25">
      <c r="B108" s="43"/>
    </row>
    <row r="109" spans="1:7" ht="15.75" thickBot="1" x14ac:dyDescent="0.3">
      <c r="B109" s="44"/>
    </row>
    <row r="110" spans="1:7" ht="15.75" thickBot="1" x14ac:dyDescent="0.3">
      <c r="B110" s="45" t="s">
        <v>95</v>
      </c>
      <c r="C110">
        <f>C16*C21/10^4</f>
        <v>9.8009448000000009E-3</v>
      </c>
      <c r="D110">
        <f t="shared" ref="D110:E110" si="41">D16*D21/10^4</f>
        <v>9.8009448000000009E-3</v>
      </c>
      <c r="E110">
        <f t="shared" si="41"/>
        <v>9.8009448000000009E-3</v>
      </c>
      <c r="F110" s="1">
        <f t="shared" ref="F110:F134" si="42">AVERAGE(C110:E110)</f>
        <v>9.8009448000000009E-3</v>
      </c>
      <c r="G110" s="2">
        <f t="shared" ref="G110:G134" si="43">_xlfn.STDEV.P(C110:E110)</f>
        <v>0</v>
      </c>
    </row>
    <row r="111" spans="1:7" ht="15.75" thickTop="1" x14ac:dyDescent="0.25">
      <c r="A111" s="161" t="s">
        <v>96</v>
      </c>
      <c r="B111" s="40" t="s">
        <v>73</v>
      </c>
      <c r="C111">
        <f>C33/C110</f>
        <v>554.2954816028456</v>
      </c>
      <c r="D111">
        <f t="shared" ref="D111:E111" si="44">D33/D110</f>
        <v>555.97575777583734</v>
      </c>
      <c r="E111">
        <f t="shared" si="44"/>
        <v>556.71446725584883</v>
      </c>
      <c r="F111" s="1">
        <f t="shared" si="42"/>
        <v>555.66190221151055</v>
      </c>
      <c r="G111" s="2">
        <f t="shared" si="43"/>
        <v>1.0121764944260843</v>
      </c>
    </row>
    <row r="112" spans="1:7" x14ac:dyDescent="0.25">
      <c r="A112" s="162"/>
      <c r="B112" s="38" t="s">
        <v>74</v>
      </c>
      <c r="C112">
        <f>C34/C110</f>
        <v>507.57473569970557</v>
      </c>
      <c r="D112">
        <f t="shared" ref="D112:E112" si="45">D34/D110</f>
        <v>510.17914004010015</v>
      </c>
      <c r="E112">
        <f t="shared" si="45"/>
        <v>508.89217012900343</v>
      </c>
      <c r="F112" s="1">
        <f t="shared" si="42"/>
        <v>508.88201528960303</v>
      </c>
      <c r="G112" s="2">
        <f t="shared" si="43"/>
        <v>1.0632678661055481</v>
      </c>
    </row>
    <row r="113" spans="1:7" x14ac:dyDescent="0.25">
      <c r="A113" s="162"/>
      <c r="B113" s="38" t="s">
        <v>75</v>
      </c>
      <c r="C113">
        <f>C35/C110</f>
        <v>483.85823112071529</v>
      </c>
      <c r="D113">
        <f t="shared" ref="D113:E113" si="46">D35/D110</f>
        <v>486.45772634685034</v>
      </c>
      <c r="E113">
        <f t="shared" si="46"/>
        <v>484.92371210436676</v>
      </c>
      <c r="F113" s="1">
        <f t="shared" si="42"/>
        <v>485.07988985731077</v>
      </c>
      <c r="G113" s="2">
        <f t="shared" si="43"/>
        <v>1.0669700013154735</v>
      </c>
    </row>
    <row r="114" spans="1:7" x14ac:dyDescent="0.25">
      <c r="A114" s="162"/>
      <c r="B114" s="38" t="s">
        <v>76</v>
      </c>
      <c r="C114">
        <f>C36/C110</f>
        <v>485.62191903183299</v>
      </c>
      <c r="D114">
        <f t="shared" ref="D114:E114" si="47">D36/D110</f>
        <v>488.26443718886856</v>
      </c>
      <c r="E114">
        <f t="shared" si="47"/>
        <v>486.73271287755358</v>
      </c>
      <c r="F114" s="1">
        <f t="shared" si="42"/>
        <v>486.87302303275175</v>
      </c>
      <c r="G114" s="2">
        <f t="shared" si="43"/>
        <v>1.0833561302127923</v>
      </c>
    </row>
    <row r="115" spans="1:7" x14ac:dyDescent="0.25">
      <c r="A115" s="162"/>
      <c r="B115" s="38" t="s">
        <v>77</v>
      </c>
      <c r="C115">
        <f>C37/C110</f>
        <v>487.09032124739508</v>
      </c>
      <c r="D115">
        <f t="shared" ref="D115:E115" si="48">D37/D110</f>
        <v>489.60984528150823</v>
      </c>
      <c r="E115">
        <f t="shared" si="48"/>
        <v>488.13070373407635</v>
      </c>
      <c r="F115" s="1">
        <f t="shared" si="42"/>
        <v>488.27695675432659</v>
      </c>
      <c r="G115" s="2">
        <f t="shared" si="43"/>
        <v>1.0337771517007188</v>
      </c>
    </row>
    <row r="116" spans="1:7" x14ac:dyDescent="0.25">
      <c r="A116" s="162"/>
      <c r="B116" s="38" t="s">
        <v>78</v>
      </c>
      <c r="C116">
        <f>C38/C110</f>
        <v>488.26031063814469</v>
      </c>
      <c r="D116">
        <f t="shared" ref="D116:E116" si="49">D38/D110</f>
        <v>490.68216480387002</v>
      </c>
      <c r="E116">
        <f t="shared" si="49"/>
        <v>489.28441514926163</v>
      </c>
      <c r="F116" s="1">
        <f t="shared" si="42"/>
        <v>489.40896353042541</v>
      </c>
      <c r="G116" s="2">
        <f t="shared" si="43"/>
        <v>0.99263240072317649</v>
      </c>
    </row>
    <row r="117" spans="1:7" x14ac:dyDescent="0.25">
      <c r="A117" s="162"/>
      <c r="B117" s="38" t="s">
        <v>79</v>
      </c>
      <c r="C117">
        <f>C39/C110</f>
        <v>491.02007519351179</v>
      </c>
      <c r="D117">
        <f t="shared" ref="D117:E117" si="50">D39/D110</f>
        <v>493.34143256412949</v>
      </c>
      <c r="E117">
        <f t="shared" si="50"/>
        <v>492.12883319322202</v>
      </c>
      <c r="F117" s="1">
        <f t="shared" si="42"/>
        <v>492.1634469836211</v>
      </c>
      <c r="G117" s="2">
        <f t="shared" si="43"/>
        <v>0.94800618717904617</v>
      </c>
    </row>
    <row r="118" spans="1:7" x14ac:dyDescent="0.25">
      <c r="A118" s="162"/>
      <c r="B118" s="38" t="s">
        <v>80</v>
      </c>
      <c r="C118">
        <f>C40/C110</f>
        <v>490.34383580268457</v>
      </c>
      <c r="D118">
        <f t="shared" ref="D118:E118" si="51">D40/D110</f>
        <v>492.54200696620961</v>
      </c>
      <c r="E118">
        <f t="shared" si="51"/>
        <v>491.30810865055798</v>
      </c>
      <c r="F118" s="1">
        <f t="shared" si="42"/>
        <v>491.39798380648409</v>
      </c>
      <c r="G118" s="2">
        <f t="shared" si="43"/>
        <v>0.89964706923615911</v>
      </c>
    </row>
    <row r="119" spans="1:7" x14ac:dyDescent="0.25">
      <c r="A119" s="162"/>
      <c r="B119" s="38" t="s">
        <v>80</v>
      </c>
      <c r="C119">
        <f>C41/C110</f>
        <v>469.97312181384962</v>
      </c>
      <c r="D119">
        <f t="shared" ref="D119:E119" si="52">D41/D110</f>
        <v>472.30467334647369</v>
      </c>
      <c r="E119">
        <f t="shared" si="52"/>
        <v>471.19334258986669</v>
      </c>
      <c r="F119" s="1">
        <f t="shared" si="42"/>
        <v>471.15704591672994</v>
      </c>
      <c r="G119" s="2">
        <f t="shared" si="43"/>
        <v>0.95219788688451834</v>
      </c>
    </row>
    <row r="120" spans="1:7" x14ac:dyDescent="0.25">
      <c r="A120" s="162"/>
      <c r="B120" s="38" t="s">
        <v>80</v>
      </c>
      <c r="C120">
        <f>C42/C110</f>
        <v>450.82375695413373</v>
      </c>
      <c r="D120">
        <f t="shared" ref="D120:E120" si="53">D42/D110</f>
        <v>453.44974264727358</v>
      </c>
      <c r="E120">
        <f t="shared" si="53"/>
        <v>452.24187690417648</v>
      </c>
      <c r="F120" s="1">
        <f t="shared" si="42"/>
        <v>452.17179216852793</v>
      </c>
      <c r="G120" s="2">
        <f t="shared" si="43"/>
        <v>1.0731989929713235</v>
      </c>
    </row>
    <row r="121" spans="1:7" x14ac:dyDescent="0.25">
      <c r="A121" s="162"/>
      <c r="B121" s="38" t="s">
        <v>80</v>
      </c>
      <c r="C121">
        <f>C43/C110</f>
        <v>401.10673239907715</v>
      </c>
      <c r="D121">
        <f t="shared" ref="D121:E121" si="54">D43/D110</f>
        <v>403.20228843752938</v>
      </c>
      <c r="E121">
        <f t="shared" si="54"/>
        <v>403.11950965169598</v>
      </c>
      <c r="F121" s="1">
        <f t="shared" si="42"/>
        <v>402.47617682943422</v>
      </c>
      <c r="G121" s="2">
        <f t="shared" si="43"/>
        <v>0.96893295871383245</v>
      </c>
    </row>
    <row r="122" spans="1:7" ht="15.75" thickBot="1" x14ac:dyDescent="0.3">
      <c r="A122" s="163"/>
      <c r="B122" s="39" t="s">
        <v>80</v>
      </c>
      <c r="C122">
        <f>C44/C110</f>
        <v>138.3481068465137</v>
      </c>
      <c r="D122">
        <f t="shared" ref="D122:E122" si="55">D44/D110</f>
        <v>134.1966437089265</v>
      </c>
      <c r="E122">
        <f t="shared" si="55"/>
        <v>144.13691285944074</v>
      </c>
      <c r="F122" s="1">
        <f t="shared" si="42"/>
        <v>138.89388780496031</v>
      </c>
      <c r="G122" s="2">
        <f t="shared" si="43"/>
        <v>4.0764073510153889</v>
      </c>
    </row>
    <row r="123" spans="1:7" ht="15.75" thickTop="1" x14ac:dyDescent="0.25">
      <c r="A123" s="161" t="s">
        <v>97</v>
      </c>
      <c r="B123" s="40" t="s">
        <v>73</v>
      </c>
      <c r="C123">
        <f>C45/C110</f>
        <v>505.61153071839288</v>
      </c>
      <c r="D123">
        <f t="shared" ref="D123:E123" si="56">D45/D110</f>
        <v>508.27832809933221</v>
      </c>
      <c r="E123">
        <f t="shared" si="56"/>
        <v>507.2544358771529</v>
      </c>
      <c r="F123" s="1">
        <f t="shared" si="42"/>
        <v>507.048098231626</v>
      </c>
      <c r="G123" s="2">
        <f t="shared" si="43"/>
        <v>1.0984484468914641</v>
      </c>
    </row>
    <row r="124" spans="1:7" x14ac:dyDescent="0.25">
      <c r="A124" s="162"/>
      <c r="B124" s="38" t="s">
        <v>74</v>
      </c>
      <c r="C124">
        <f>C46/C110</f>
        <v>482.64502922908451</v>
      </c>
      <c r="D124">
        <f t="shared" ref="D124:E124" si="57">D46/D110</f>
        <v>485.2397674678727</v>
      </c>
      <c r="E124">
        <f t="shared" si="57"/>
        <v>483.79335821530412</v>
      </c>
      <c r="F124" s="1">
        <f t="shared" si="42"/>
        <v>483.89271830408711</v>
      </c>
      <c r="G124" s="2">
        <f t="shared" si="43"/>
        <v>1.0616248403240576</v>
      </c>
    </row>
    <row r="125" spans="1:7" x14ac:dyDescent="0.25">
      <c r="A125" s="162"/>
      <c r="B125" s="38" t="s">
        <v>75</v>
      </c>
      <c r="C125">
        <f>C47/C110</f>
        <v>484.4703328612253</v>
      </c>
      <c r="D125">
        <f t="shared" ref="D125:E125" si="58">D47/D110</f>
        <v>487.06263373606259</v>
      </c>
      <c r="E125">
        <f t="shared" si="58"/>
        <v>485.61298396802539</v>
      </c>
      <c r="F125" s="1">
        <f t="shared" si="42"/>
        <v>485.71531685510445</v>
      </c>
      <c r="G125" s="2">
        <f t="shared" si="43"/>
        <v>1.0607732937984429</v>
      </c>
    </row>
    <row r="126" spans="1:7" x14ac:dyDescent="0.25">
      <c r="A126" s="162"/>
      <c r="B126" s="38" t="s">
        <v>76</v>
      </c>
      <c r="C126">
        <f>C48/C110</f>
        <v>485.98271106895908</v>
      </c>
      <c r="D126">
        <f t="shared" ref="D126:E126" si="59">D48/D110</f>
        <v>488.46261055311663</v>
      </c>
      <c r="E126">
        <f t="shared" si="59"/>
        <v>487.08060297133574</v>
      </c>
      <c r="F126" s="1">
        <f t="shared" si="42"/>
        <v>487.17530819780382</v>
      </c>
      <c r="G126" s="2">
        <f t="shared" si="43"/>
        <v>1.014627081845511</v>
      </c>
    </row>
    <row r="127" spans="1:7" x14ac:dyDescent="0.25">
      <c r="A127" s="162"/>
      <c r="B127" s="38" t="s">
        <v>77</v>
      </c>
      <c r="C127">
        <f>C49/C110</f>
        <v>487.21487405323228</v>
      </c>
      <c r="D127">
        <f t="shared" ref="D127:E127" si="60">D49/D110</f>
        <v>489.58839408992765</v>
      </c>
      <c r="E127">
        <f t="shared" si="60"/>
        <v>488.24057574247894</v>
      </c>
      <c r="F127" s="1">
        <f t="shared" si="42"/>
        <v>488.34794796187958</v>
      </c>
      <c r="G127" s="2">
        <f t="shared" si="43"/>
        <v>0.97195539550360921</v>
      </c>
    </row>
    <row r="128" spans="1:7" x14ac:dyDescent="0.25">
      <c r="A128" s="162"/>
      <c r="B128" s="38" t="s">
        <v>78</v>
      </c>
      <c r="C128">
        <f>C50/C110</f>
        <v>488.20556166342243</v>
      </c>
      <c r="D128">
        <f t="shared" ref="D128:E128" si="61">D50/D110</f>
        <v>490.58865252515125</v>
      </c>
      <c r="E128">
        <f t="shared" si="61"/>
        <v>488.6802651514634</v>
      </c>
      <c r="F128" s="1">
        <f t="shared" si="42"/>
        <v>489.15815978001234</v>
      </c>
      <c r="G128" s="2">
        <f t="shared" si="43"/>
        <v>1.0299087243734462</v>
      </c>
    </row>
    <row r="129" spans="1:7" x14ac:dyDescent="0.25">
      <c r="A129" s="162"/>
      <c r="B129" s="38" t="s">
        <v>79</v>
      </c>
      <c r="C129">
        <f>C51/C110</f>
        <v>490.78360251101265</v>
      </c>
      <c r="D129">
        <f t="shared" ref="D129:E129" si="62">D51/D110</f>
        <v>492.97719631197123</v>
      </c>
      <c r="E129">
        <f t="shared" si="62"/>
        <v>491.63445078307802</v>
      </c>
      <c r="F129" s="1">
        <f t="shared" si="42"/>
        <v>491.79841653535397</v>
      </c>
      <c r="G129" s="2">
        <f t="shared" si="43"/>
        <v>0.90300498959143471</v>
      </c>
    </row>
    <row r="130" spans="1:7" x14ac:dyDescent="0.25">
      <c r="A130" s="162"/>
      <c r="B130" s="38" t="s">
        <v>82</v>
      </c>
      <c r="C130">
        <f>C52/C110</f>
        <v>469.13884610302807</v>
      </c>
      <c r="D130">
        <f t="shared" ref="D130:E130" si="63">D52/D110</f>
        <v>471.38028935585675</v>
      </c>
      <c r="E130">
        <f t="shared" si="63"/>
        <v>470.33405141002294</v>
      </c>
      <c r="F130" s="1">
        <f t="shared" si="42"/>
        <v>470.28439562296927</v>
      </c>
      <c r="G130" s="2">
        <f t="shared" si="43"/>
        <v>0.91573876799144605</v>
      </c>
    </row>
    <row r="131" spans="1:7" x14ac:dyDescent="0.25">
      <c r="A131" s="162"/>
      <c r="B131" s="38" t="s">
        <v>83</v>
      </c>
      <c r="C131">
        <f>C53/C110</f>
        <v>450.21737383448072</v>
      </c>
      <c r="D131">
        <f t="shared" ref="D131:E131" si="64">D53/D110</f>
        <v>452.71329280656659</v>
      </c>
      <c r="E131">
        <f t="shared" si="64"/>
        <v>451.29820711187807</v>
      </c>
      <c r="F131" s="1">
        <f t="shared" si="42"/>
        <v>451.40962458430846</v>
      </c>
      <c r="G131" s="2">
        <f t="shared" si="43"/>
        <v>1.0219958475703694</v>
      </c>
    </row>
    <row r="132" spans="1:7" x14ac:dyDescent="0.25">
      <c r="A132" s="162"/>
      <c r="B132" s="38" t="s">
        <v>84</v>
      </c>
      <c r="C132">
        <f>C54/C110</f>
        <v>417.15598197803627</v>
      </c>
      <c r="D132">
        <f t="shared" ref="D132:E132" si="65">D54/D110</f>
        <v>418.29450570455572</v>
      </c>
      <c r="E132">
        <f t="shared" si="65"/>
        <v>415.8173741976118</v>
      </c>
      <c r="F132" s="1">
        <f t="shared" si="42"/>
        <v>417.08928729340124</v>
      </c>
      <c r="G132" s="2">
        <f t="shared" si="43"/>
        <v>1.0123837419320423</v>
      </c>
    </row>
    <row r="133" spans="1:7" x14ac:dyDescent="0.25">
      <c r="A133" s="162"/>
      <c r="B133" s="38" t="s">
        <v>85</v>
      </c>
      <c r="C133">
        <f>C55/C110</f>
        <v>137.9514340274973</v>
      </c>
      <c r="D133">
        <f t="shared" ref="D133:E133" si="66">D55/D110</f>
        <v>134.07140053104135</v>
      </c>
      <c r="E133">
        <f t="shared" si="66"/>
        <v>143.4521095770119</v>
      </c>
      <c r="F133" s="1">
        <f t="shared" si="42"/>
        <v>138.49164804518352</v>
      </c>
      <c r="G133" s="2">
        <f t="shared" si="43"/>
        <v>3.8486620133900153</v>
      </c>
    </row>
    <row r="134" spans="1:7" ht="15.75" thickBot="1" x14ac:dyDescent="0.3">
      <c r="A134" s="163"/>
      <c r="B134" s="39" t="s">
        <v>86</v>
      </c>
      <c r="C134">
        <f>C56/C110</f>
        <v>36.061099316594557</v>
      </c>
      <c r="D134">
        <f t="shared" ref="D134:E134" si="67">D56/D110</f>
        <v>34.48908805586418</v>
      </c>
      <c r="E134">
        <f t="shared" si="67"/>
        <v>35.264945235881086</v>
      </c>
      <c r="F134" s="1">
        <f t="shared" si="42"/>
        <v>35.271710869446608</v>
      </c>
      <c r="G134" s="2">
        <f t="shared" si="43"/>
        <v>0.64178874058573454</v>
      </c>
    </row>
    <row r="135" spans="1:7" ht="15.75" thickTop="1" x14ac:dyDescent="0.25"/>
    <row r="137" spans="1:7" ht="14.45" customHeight="1" x14ac:dyDescent="0.25">
      <c r="A137" s="171" t="s">
        <v>98</v>
      </c>
      <c r="B137" s="67" t="s">
        <v>99</v>
      </c>
      <c r="C137" s="68" t="str">
        <f>C1</f>
        <v>DD010</v>
      </c>
      <c r="D137" s="68" t="str">
        <f>D1</f>
        <v>DD011</v>
      </c>
      <c r="E137" s="68" t="str">
        <f>E1</f>
        <v>DD012</v>
      </c>
    </row>
    <row r="138" spans="1:7" ht="14.45" customHeight="1" x14ac:dyDescent="0.25">
      <c r="A138" s="172"/>
      <c r="B138" s="69" t="s">
        <v>100</v>
      </c>
      <c r="C138" s="68">
        <f>C25</f>
        <v>2.9697215999999999E-2</v>
      </c>
      <c r="D138" s="68">
        <f t="shared" ref="D138:E138" si="68">D25</f>
        <v>2.9754240000000001E-2</v>
      </c>
      <c r="E138" s="68">
        <f t="shared" si="68"/>
        <v>2.9773247999999999E-2</v>
      </c>
      <c r="F138" s="1">
        <f>AVERAGE(C138:E138)</f>
        <v>2.9741567999999999E-2</v>
      </c>
      <c r="G138" s="2">
        <f>_xlfn.STDEV.P(C138:E138)</f>
        <v>3.2307387638124305E-5</v>
      </c>
    </row>
    <row r="139" spans="1:7" ht="14.45" customHeight="1" x14ac:dyDescent="0.25">
      <c r="A139" s="172"/>
      <c r="B139" s="69" t="s">
        <v>101</v>
      </c>
      <c r="C139" s="68"/>
      <c r="D139" s="68"/>
      <c r="E139" s="68"/>
    </row>
    <row r="140" spans="1:7" ht="14.45" customHeight="1" x14ac:dyDescent="0.25">
      <c r="A140" s="172"/>
      <c r="B140" s="69" t="s">
        <v>102</v>
      </c>
      <c r="C140" s="68">
        <v>0.05</v>
      </c>
      <c r="D140" s="68">
        <v>0.05</v>
      </c>
      <c r="E140" s="68">
        <v>0.05</v>
      </c>
    </row>
    <row r="141" spans="1:7" ht="14.45" customHeight="1" x14ac:dyDescent="0.25">
      <c r="A141" s="172"/>
      <c r="B141" s="69" t="s">
        <v>103</v>
      </c>
      <c r="C141" s="68">
        <v>1</v>
      </c>
      <c r="D141" s="68">
        <v>1</v>
      </c>
      <c r="E141" s="68">
        <v>1</v>
      </c>
    </row>
    <row r="142" spans="1:7" ht="14.45" customHeight="1" x14ac:dyDescent="0.25">
      <c r="A142" s="172"/>
      <c r="B142" s="69" t="s">
        <v>104</v>
      </c>
      <c r="C142" s="68">
        <f>C21</f>
        <v>57</v>
      </c>
      <c r="D142" s="68">
        <f t="shared" ref="D142:E142" si="69">D21</f>
        <v>57</v>
      </c>
      <c r="E142" s="68">
        <f t="shared" si="69"/>
        <v>57</v>
      </c>
      <c r="F142" s="1">
        <f>AVERAGE(C142:E142)</f>
        <v>57</v>
      </c>
      <c r="G142" s="2">
        <f>_xlfn.STDEV.P(C142:E142)</f>
        <v>0</v>
      </c>
    </row>
    <row r="143" spans="1:7" ht="14.45" customHeight="1" x14ac:dyDescent="0.25">
      <c r="A143" s="172"/>
      <c r="B143" s="69" t="s">
        <v>105</v>
      </c>
      <c r="C143" s="68">
        <f>C16</f>
        <v>1.7194640000000001</v>
      </c>
      <c r="D143" s="68">
        <f t="shared" ref="D143:E143" si="70">D16</f>
        <v>1.7194640000000001</v>
      </c>
      <c r="E143" s="68">
        <f t="shared" si="70"/>
        <v>1.7194640000000001</v>
      </c>
      <c r="F143" s="1">
        <f>AVERAGE(C143:E143)</f>
        <v>1.7194640000000001</v>
      </c>
      <c r="G143" s="2">
        <f>_xlfn.STDEV.P(C143:E143)</f>
        <v>0</v>
      </c>
    </row>
    <row r="144" spans="1:7" ht="14.45" customHeight="1" x14ac:dyDescent="0.25">
      <c r="A144" s="172"/>
      <c r="B144" s="69" t="s">
        <v>106</v>
      </c>
      <c r="C144" s="68">
        <f>C22</f>
        <v>179.90839005643619</v>
      </c>
      <c r="D144" s="68">
        <f t="shared" ref="D144:E144" si="71">D22</f>
        <v>180.25384654752878</v>
      </c>
      <c r="E144" s="68">
        <f t="shared" si="71"/>
        <v>180.36899871122631</v>
      </c>
      <c r="F144" s="1">
        <f>AVERAGE(C144:E144)</f>
        <v>180.17707843839707</v>
      </c>
      <c r="G144" s="2">
        <f>_xlfn.STDEV.P(C144:E144)</f>
        <v>0.19572104324204595</v>
      </c>
    </row>
    <row r="145" spans="1:7" ht="14.45" customHeight="1" x14ac:dyDescent="0.25">
      <c r="A145" s="172"/>
      <c r="B145" s="69" t="s">
        <v>107</v>
      </c>
      <c r="C145" s="68">
        <f>C24</f>
        <v>29.199471851732671</v>
      </c>
      <c r="D145" s="68">
        <f t="shared" ref="D145:E145" si="72">D24</f>
        <v>29.063522094114759</v>
      </c>
      <c r="E145" s="68">
        <f t="shared" si="72"/>
        <v>29.018205508242122</v>
      </c>
      <c r="F145" s="1">
        <f>AVERAGE(C145:E145)</f>
        <v>29.093733151363182</v>
      </c>
      <c r="G145" s="2">
        <f>_xlfn.STDEV.P(C145:E145)</f>
        <v>7.7023385217993415E-2</v>
      </c>
    </row>
    <row r="146" spans="1:7" ht="14.45" customHeight="1" thickBot="1" x14ac:dyDescent="0.3">
      <c r="A146" s="173"/>
      <c r="B146" s="70" t="s">
        <v>108</v>
      </c>
      <c r="C146" s="68">
        <v>145</v>
      </c>
      <c r="D146" s="68">
        <v>145</v>
      </c>
      <c r="E146" s="68">
        <v>145</v>
      </c>
      <c r="F146" s="1">
        <f>AVERAGE(C146:E146)</f>
        <v>145</v>
      </c>
      <c r="G146" s="2">
        <f>_xlfn.STDEV.P(C146:E146)</f>
        <v>0</v>
      </c>
    </row>
    <row r="148" spans="1:7" x14ac:dyDescent="0.25">
      <c r="A148" s="168" t="s">
        <v>109</v>
      </c>
      <c r="B148" s="94" t="s">
        <v>110</v>
      </c>
      <c r="C148" s="93">
        <v>4.9695836383420504</v>
      </c>
      <c r="D148" s="93">
        <v>4.9884726676331397</v>
      </c>
      <c r="E148" s="93">
        <v>4.9774227250531604</v>
      </c>
      <c r="F148" s="1">
        <f>AVERAGE(C148:E148)</f>
        <v>4.9784930103427838</v>
      </c>
      <c r="G148" s="2">
        <f>_xlfn.STDEV.P(C148:E148)</f>
        <v>7.7484617759825836E-3</v>
      </c>
    </row>
    <row r="149" spans="1:7" x14ac:dyDescent="0.25">
      <c r="A149" s="169"/>
      <c r="B149" s="95" t="s">
        <v>111</v>
      </c>
      <c r="C149" s="93">
        <v>4.61815395516488</v>
      </c>
      <c r="D149" s="93">
        <v>4.6371322267323096</v>
      </c>
      <c r="E149" s="93">
        <v>4.6220584323040601</v>
      </c>
      <c r="F149" s="1">
        <f>AVERAGE(C149:E149)</f>
        <v>4.6257815380670833</v>
      </c>
      <c r="G149" s="2">
        <f>_xlfn.STDEV.P(C149:E149)</f>
        <v>8.1829023096441269E-3</v>
      </c>
    </row>
    <row r="150" spans="1:7" x14ac:dyDescent="0.25">
      <c r="A150" s="169"/>
      <c r="B150" s="95" t="s">
        <v>112</v>
      </c>
      <c r="C150" s="93">
        <v>4.17002402049925</v>
      </c>
      <c r="D150" s="93">
        <v>3.9803229395520598</v>
      </c>
      <c r="E150" s="93">
        <v>4.3886812395467896</v>
      </c>
      <c r="F150" s="1">
        <f>AVERAGE(C150:E150)</f>
        <v>4.1796760665327</v>
      </c>
      <c r="G150" s="2">
        <f>_xlfn.STDEV.P(C150:E150)</f>
        <v>0.16685122472454375</v>
      </c>
    </row>
    <row r="151" spans="1:7" ht="15.75" thickBot="1" x14ac:dyDescent="0.3">
      <c r="A151" s="170"/>
      <c r="B151" s="96" t="s">
        <v>113</v>
      </c>
      <c r="C151" s="93">
        <v>4.7963288219131996</v>
      </c>
      <c r="D151" s="93">
        <v>4.7740781291443701</v>
      </c>
      <c r="E151" s="93">
        <v>4.84240207311493</v>
      </c>
      <c r="F151" s="1">
        <f>AVERAGE(C151:E151)</f>
        <v>4.8042696747241669</v>
      </c>
      <c r="G151" s="2">
        <f>_xlfn.STDEV.P(C151:E151)</f>
        <v>2.8452688068055853E-2</v>
      </c>
    </row>
    <row r="153" spans="1:7" s="15" customFormat="1" x14ac:dyDescent="0.25">
      <c r="B153" s="102"/>
      <c r="C153" s="103"/>
      <c r="D153" s="103"/>
      <c r="E153" s="103"/>
      <c r="F153" s="116"/>
      <c r="G153" s="117"/>
    </row>
  </sheetData>
  <mergeCells count="11">
    <mergeCell ref="A81:A92"/>
    <mergeCell ref="A1:A30"/>
    <mergeCell ref="A33:A44"/>
    <mergeCell ref="A45:A56"/>
    <mergeCell ref="A57:A67"/>
    <mergeCell ref="A68:A78"/>
    <mergeCell ref="A148:A151"/>
    <mergeCell ref="A137:A146"/>
    <mergeCell ref="A93:A104"/>
    <mergeCell ref="A111:A122"/>
    <mergeCell ref="A123:A13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f2877b-f985-4c6d-983a-7f8161d1e065">
      <Terms xmlns="http://schemas.microsoft.com/office/infopath/2007/PartnerControls"/>
    </lcf76f155ced4ddcb4097134ff3c332f>
    <TaxCatchAll xmlns="5b2707de-77a1-4cb8-b783-cae22a960d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77A7CC59B264EA6C1839A0D17F38A" ma:contentTypeVersion="16" ma:contentTypeDescription="Create a new document." ma:contentTypeScope="" ma:versionID="515efc6ad613ce8ed8516232b881f52a">
  <xsd:schema xmlns:xsd="http://www.w3.org/2001/XMLSchema" xmlns:xs="http://www.w3.org/2001/XMLSchema" xmlns:p="http://schemas.microsoft.com/office/2006/metadata/properties" xmlns:ns2="5b2707de-77a1-4cb8-b783-cae22a960d58" xmlns:ns3="daf2877b-f985-4c6d-983a-7f8161d1e065" targetNamespace="http://schemas.microsoft.com/office/2006/metadata/properties" ma:root="true" ma:fieldsID="db33b2e870a2b50f36076e4743a23a57" ns2:_="" ns3:_="">
    <xsd:import namespace="5b2707de-77a1-4cb8-b783-cae22a960d58"/>
    <xsd:import namespace="daf2877b-f985-4c6d-983a-7f8161d1e0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707de-77a1-4cb8-b783-cae22a960d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918f944-3d4e-42ba-83a0-09a32975b611}" ma:internalName="TaxCatchAll" ma:showField="CatchAllData" ma:web="5b2707de-77a1-4cb8-b783-cae22a960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2877b-f985-4c6d-983a-7f8161d1e0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5cd427-a42c-44c8-816a-2405638e27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B9B69-BB61-4A59-838B-8C12136802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9D6D16-CD02-4738-AFD5-FD0BED29CEAA}">
  <ds:schemaRefs>
    <ds:schemaRef ds:uri="http://schemas.microsoft.com/office/2006/metadata/properties"/>
    <ds:schemaRef ds:uri="http://schemas.microsoft.com/office/infopath/2007/PartnerControls"/>
    <ds:schemaRef ds:uri="daf2877b-f985-4c6d-983a-7f8161d1e065"/>
    <ds:schemaRef ds:uri="5b2707de-77a1-4cb8-b783-cae22a960d58"/>
  </ds:schemaRefs>
</ds:datastoreItem>
</file>

<file path=customXml/itemProps3.xml><?xml version="1.0" encoding="utf-8"?>
<ds:datastoreItem xmlns:ds="http://schemas.openxmlformats.org/officeDocument/2006/customXml" ds:itemID="{3C854D60-2E30-4AA4-BFFA-5C2F16A4F8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2707de-77a1-4cb8-b783-cae22a960d58"/>
    <ds:schemaRef ds:uri="daf2877b-f985-4c6d-983a-7f8161d1e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</vt:lpstr>
      <vt:lpstr>Group1</vt:lpstr>
      <vt:lpstr>Group2</vt:lpstr>
      <vt:lpstr>Group3</vt:lpstr>
      <vt:lpstr>Group4</vt:lpstr>
      <vt:lpstr>Group5</vt:lpstr>
      <vt:lpstr>Group6</vt:lpstr>
      <vt:lpstr>Group7</vt:lpstr>
      <vt:lpstr>Group8</vt:lpstr>
      <vt:lpstr>Group9</vt:lpstr>
      <vt:lpstr>Group10</vt:lpstr>
      <vt:lpstr>Group11</vt:lpstr>
      <vt:lpstr>Group12</vt:lpstr>
      <vt:lpstr>Group13</vt:lpstr>
      <vt:lpstr>Group14</vt:lpstr>
      <vt:lpstr>Group15</vt:lpstr>
      <vt:lpstr>Group16</vt:lpstr>
      <vt:lpstr>Group17</vt:lpstr>
      <vt:lpstr>Group18</vt:lpstr>
    </vt:vector>
  </TitlesOfParts>
  <Manager/>
  <Company>WMG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Geanina Apachitei</dc:creator>
  <cp:keywords/>
  <dc:description/>
  <cp:lastModifiedBy>Mora Faraji Niri</cp:lastModifiedBy>
  <cp:revision/>
  <dcterms:created xsi:type="dcterms:W3CDTF">2022-01-06T12:10:39Z</dcterms:created>
  <dcterms:modified xsi:type="dcterms:W3CDTF">2023-07-14T08:21:05Z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0x01010007D77A7CC59B264EA6C1839A0D17F38A</vt:lpwstr>
  </property>
  <property fmtid="{D5CDD505-2E9C-101B-9397-08002B2CF9AE}" pid="3" name="MediaServiceImageTags">
    <vt:lpwstr/>
  </property>
</Properties>
</file>